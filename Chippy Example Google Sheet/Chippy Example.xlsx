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22" sheetId="1" r:id="rId5"/>
  </sheets>
  <definedNames/>
  <calcPr/>
</workbook>
</file>

<file path=xl/sharedStrings.xml><?xml version="1.0" encoding="utf-8"?>
<sst xmlns="http://schemas.openxmlformats.org/spreadsheetml/2006/main" count="98" uniqueCount="94">
  <si>
    <t>Player</t>
  </si>
  <si>
    <t>Fargo</t>
  </si>
  <si>
    <t>Combined Fargo</t>
  </si>
  <si>
    <t># of Chips</t>
  </si>
  <si>
    <t>In system</t>
  </si>
  <si>
    <t>Paid</t>
  </si>
  <si>
    <t>Side pot</t>
  </si>
  <si>
    <t>Fargo range</t>
  </si>
  <si>
    <t>Team</t>
  </si>
  <si>
    <t>Place</t>
  </si>
  <si>
    <t>Payout</t>
  </si>
  <si>
    <t>Joe Trevino</t>
  </si>
  <si>
    <t>Charles Chiera</t>
  </si>
  <si>
    <t>&lt;1000</t>
  </si>
  <si>
    <t>Kirk &amp; Robert</t>
  </si>
  <si>
    <t>1st Place</t>
  </si>
  <si>
    <t>Kirk Osburne</t>
  </si>
  <si>
    <t>Robert Matsne (bday chip)</t>
  </si>
  <si>
    <t>1001-1060</t>
  </si>
  <si>
    <t>Joe V &amp; Joseph D</t>
  </si>
  <si>
    <t>2nd Place</t>
  </si>
  <si>
    <t>Monte Vaughn</t>
  </si>
  <si>
    <t>Joseph Draper</t>
  </si>
  <si>
    <t>1061-1120</t>
  </si>
  <si>
    <t>Kim &amp; Pat</t>
  </si>
  <si>
    <t>3rd Place</t>
  </si>
  <si>
    <t>Kristin Cambas</t>
  </si>
  <si>
    <t>Ben Steele</t>
  </si>
  <si>
    <t>1121-1180</t>
  </si>
  <si>
    <t>Chris L &amp; Andy J</t>
  </si>
  <si>
    <t>4th Place</t>
  </si>
  <si>
    <t>Crystal Swails</t>
  </si>
  <si>
    <t>Jessica LaDuke</t>
  </si>
  <si>
    <t>1181-1240</t>
  </si>
  <si>
    <t>Fred &amp; BJ</t>
  </si>
  <si>
    <t>5th Place</t>
  </si>
  <si>
    <t>Chris Hopkins</t>
  </si>
  <si>
    <t>Delton Dominique</t>
  </si>
  <si>
    <t xml:space="preserve">&gt;1241 </t>
  </si>
  <si>
    <t>Joseph MC &amp; Javier</t>
  </si>
  <si>
    <t>6th Place</t>
  </si>
  <si>
    <t>David McKiernan</t>
  </si>
  <si>
    <t>Basheer Ahmed Muddebihal</t>
  </si>
  <si>
    <t>Robert H &amp; Tariq E</t>
  </si>
  <si>
    <t>7th Place</t>
  </si>
  <si>
    <t>Gordo Barber</t>
  </si>
  <si>
    <t>Brandon McGuire</t>
  </si>
  <si>
    <t>Joe V &amp; Joseph D (20)</t>
  </si>
  <si>
    <t>Most Wins</t>
  </si>
  <si>
    <t>David Cooper</t>
  </si>
  <si>
    <t>Aldo Camarena</t>
  </si>
  <si>
    <t>Fred Joseph</t>
  </si>
  <si>
    <t>BJ Bartling</t>
  </si>
  <si>
    <t>Anna Long</t>
  </si>
  <si>
    <t>Joe Moyak</t>
  </si>
  <si>
    <t xml:space="preserve">Kimberly Allen Moyak </t>
  </si>
  <si>
    <t xml:space="preserve">Pat Riley </t>
  </si>
  <si>
    <t>10 Ball B&amp;R Totals</t>
  </si>
  <si>
    <t xml:space="preserve">Marcven Jagocoy </t>
  </si>
  <si>
    <t xml:space="preserve">Bryan Bernard </t>
  </si>
  <si>
    <t>Last weeks  total</t>
  </si>
  <si>
    <t>Chris Lawson</t>
  </si>
  <si>
    <t>Andy Jellison</t>
  </si>
  <si>
    <t>This weeks total</t>
  </si>
  <si>
    <t>Marlena Thompson</t>
  </si>
  <si>
    <t>Dennis Worsham</t>
  </si>
  <si>
    <t>Pot Total</t>
  </si>
  <si>
    <t>Sean Salazar</t>
  </si>
  <si>
    <t>Pony Howland</t>
  </si>
  <si>
    <t>Amount per ball</t>
  </si>
  <si>
    <t>Robert Herkes (bday chip)</t>
  </si>
  <si>
    <t>Tariq Eyssa</t>
  </si>
  <si>
    <t>Pot Moving to next week</t>
  </si>
  <si>
    <t>Omar Cortes</t>
  </si>
  <si>
    <t>Phil Gostevskyh</t>
  </si>
  <si>
    <t>Midway's new rule, TWO MAX PER WEEK</t>
  </si>
  <si>
    <t>Bellamy Sharp</t>
  </si>
  <si>
    <t>Alyksander Ludowicz</t>
  </si>
  <si>
    <t>Joseph Montellano-Cirivilleri</t>
  </si>
  <si>
    <t>Javier Valenzuela</t>
  </si>
  <si>
    <t>Kyle Peterson</t>
  </si>
  <si>
    <t>Kris Derby</t>
  </si>
  <si>
    <t>Schon Hartung</t>
  </si>
  <si>
    <t>Jon Lopez</t>
  </si>
  <si>
    <t>Kyle Seltmann</t>
  </si>
  <si>
    <t>Keaton Fuller</t>
  </si>
  <si>
    <t>Tim Keller</t>
  </si>
  <si>
    <t>Johnathan Jones</t>
  </si>
  <si>
    <t>Sean Hjelseth</t>
  </si>
  <si>
    <t>Natasha Hook</t>
  </si>
  <si>
    <t>Total</t>
  </si>
  <si>
    <t>Money added</t>
  </si>
  <si>
    <t>Total Prize Money</t>
  </si>
  <si>
    <t>Minus Admin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</si>
</sst>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9">
    <font>
      <sz val="10.0"/>
      <color rgb="FF000000"/>
      <name val="Arial"/>
      <scheme val="minor"/>
    </font>
    <font>
      <b/>
      <color rgb="FFFFFFFF"/>
      <name val="Georgia"/>
    </font>
    <font>
      <color theme="1"/>
      <name val="Georgia"/>
    </font>
    <font>
      <b/>
      <color theme="1"/>
      <name val="Georgia"/>
    </font>
    <font>
      <b/>
      <sz val="12.0"/>
      <color rgb="FF000000"/>
      <name val="Georgia"/>
    </font>
    <font>
      <b/>
      <sz val="11.0"/>
      <color rgb="FFFFFFFF"/>
      <name val="Georgia"/>
    </font>
    <font/>
    <font>
      <color theme="1"/>
      <name val="Arial"/>
    </font>
    <font>
      <b/>
      <color theme="0"/>
      <name val="Georgia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3" fontId="4" numFmtId="164" xfId="0" applyAlignment="1" applyBorder="1" applyFill="1" applyFont="1" applyNumberFormat="1">
      <alignment horizontal="right" readingOrder="0" shrinkToFit="0" vertical="bottom" wrapText="0"/>
    </xf>
    <xf borderId="0" fillId="4" fontId="2" numFmtId="0" xfId="0" applyFill="1" applyFont="1"/>
    <xf borderId="1" fillId="0" fontId="3" numFmtId="0" xfId="0" applyAlignment="1" applyBorder="1" applyFont="1">
      <alignment vertical="bottom"/>
    </xf>
    <xf borderId="0" fillId="4" fontId="3" numFmtId="0" xfId="0" applyAlignment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5" fillId="2" fontId="5" numFmtId="0" xfId="0" applyAlignment="1" applyBorder="1" applyFont="1">
      <alignment horizontal="center" readingOrder="0"/>
    </xf>
    <xf borderId="6" fillId="0" fontId="6" numFmtId="0" xfId="0" applyBorder="1" applyFont="1"/>
    <xf borderId="4" fillId="0" fontId="6" numFmtId="0" xfId="0" applyBorder="1" applyFont="1"/>
    <xf borderId="5" fillId="0" fontId="2" numFmtId="165" xfId="0" applyAlignment="1" applyBorder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vertical="bottom"/>
    </xf>
    <xf borderId="5" fillId="0" fontId="7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7" fillId="5" fontId="8" numFmtId="0" xfId="0" applyAlignment="1" applyBorder="1" applyFill="1" applyFont="1">
      <alignment horizontal="left" readingOrder="0"/>
    </xf>
    <xf borderId="8" fillId="0" fontId="6" numFmtId="0" xfId="0" applyBorder="1" applyFont="1"/>
    <xf borderId="9" fillId="0" fontId="6" numFmtId="0" xfId="0" applyBorder="1" applyFont="1"/>
    <xf borderId="0" fillId="5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7" fillId="0" fontId="2" numFmtId="164" xfId="0" applyBorder="1" applyFont="1" applyNumberFormat="1"/>
    <xf borderId="8" fillId="0" fontId="2" numFmtId="164" xfId="0" applyBorder="1" applyFont="1" applyNumberFormat="1"/>
    <xf borderId="8" fillId="0" fontId="2" numFmtId="164" xfId="0" applyAlignment="1" applyBorder="1" applyFont="1" applyNumberFormat="1">
      <alignment readingOrder="0"/>
    </xf>
    <xf borderId="9" fillId="0" fontId="2" numFmtId="164" xfId="0" applyAlignment="1" applyBorder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3" max="3" width="25.0"/>
    <col customWidth="1" min="5" max="5" width="17.25"/>
    <col customWidth="1" min="11" max="11" width="16.5"/>
    <col customWidth="1" min="12" max="12" width="24.88"/>
  </cols>
  <sheetData>
    <row r="1">
      <c r="A1" s="1" t="s">
        <v>0</v>
      </c>
      <c r="B1" s="2" t="s">
        <v>1</v>
      </c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</v>
      </c>
      <c r="L1" s="1" t="s">
        <v>8</v>
      </c>
      <c r="M1" s="1" t="s">
        <v>9</v>
      </c>
      <c r="N1" s="1" t="s">
        <v>10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11</v>
      </c>
      <c r="B2" s="5">
        <v>559.0</v>
      </c>
      <c r="C2" s="6" t="s">
        <v>12</v>
      </c>
      <c r="D2" s="5">
        <v>502.0</v>
      </c>
      <c r="E2" s="5">
        <f t="shared" ref="E2:E41" si="1">if(B2="","",B2+D2)</f>
        <v>1061</v>
      </c>
      <c r="F2" s="5">
        <f t="shared" ref="F2:F41" si="2">IFS(E2="","",E2&lt;1001,8,E2&lt;1061,7,E2&lt;1121,6,E2&lt;1181,5,E2&lt;1241,4,E2&gt;1242,3)</f>
        <v>6</v>
      </c>
      <c r="G2" s="5" t="b">
        <v>0</v>
      </c>
      <c r="H2" s="7">
        <v>50.0</v>
      </c>
      <c r="I2" s="7">
        <v>10.0</v>
      </c>
      <c r="J2" s="8" t="s">
        <v>13</v>
      </c>
      <c r="K2" s="9">
        <v>8.0</v>
      </c>
      <c r="L2" s="10" t="s">
        <v>14</v>
      </c>
      <c r="M2" s="11" t="s">
        <v>15</v>
      </c>
      <c r="N2" s="12">
        <v>460.0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16</v>
      </c>
      <c r="B3" s="5">
        <v>488.0</v>
      </c>
      <c r="C3" s="6" t="s">
        <v>17</v>
      </c>
      <c r="D3" s="5">
        <v>490.0</v>
      </c>
      <c r="E3" s="5">
        <f t="shared" si="1"/>
        <v>978</v>
      </c>
      <c r="F3" s="5">
        <f t="shared" si="2"/>
        <v>8</v>
      </c>
      <c r="G3" s="5" t="b">
        <v>0</v>
      </c>
      <c r="H3" s="7">
        <v>50.0</v>
      </c>
      <c r="I3" s="7">
        <v>10.0</v>
      </c>
      <c r="J3" s="8" t="s">
        <v>18</v>
      </c>
      <c r="K3" s="9">
        <v>7.0</v>
      </c>
      <c r="L3" s="10" t="s">
        <v>19</v>
      </c>
      <c r="M3" s="11" t="s">
        <v>20</v>
      </c>
      <c r="N3" s="12">
        <v>290.0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21</v>
      </c>
      <c r="B4" s="5">
        <v>490.0</v>
      </c>
      <c r="C4" s="6" t="s">
        <v>22</v>
      </c>
      <c r="D4" s="5">
        <v>599.0</v>
      </c>
      <c r="E4" s="5">
        <f t="shared" si="1"/>
        <v>1089</v>
      </c>
      <c r="F4" s="5">
        <f t="shared" si="2"/>
        <v>6</v>
      </c>
      <c r="G4" s="5" t="b">
        <v>0</v>
      </c>
      <c r="H4" s="7">
        <v>50.0</v>
      </c>
      <c r="I4" s="7">
        <v>10.0</v>
      </c>
      <c r="J4" s="8" t="s">
        <v>23</v>
      </c>
      <c r="K4" s="9">
        <v>6.0</v>
      </c>
      <c r="L4" s="10" t="s">
        <v>24</v>
      </c>
      <c r="M4" s="11" t="s">
        <v>25</v>
      </c>
      <c r="N4" s="12">
        <v>190.0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26</v>
      </c>
      <c r="B5" s="5">
        <v>439.0</v>
      </c>
      <c r="C5" s="6" t="s">
        <v>27</v>
      </c>
      <c r="D5" s="5">
        <v>507.0</v>
      </c>
      <c r="E5" s="5">
        <f t="shared" si="1"/>
        <v>946</v>
      </c>
      <c r="F5" s="5">
        <f t="shared" si="2"/>
        <v>8</v>
      </c>
      <c r="G5" s="5" t="b">
        <v>0</v>
      </c>
      <c r="H5" s="7">
        <v>50.0</v>
      </c>
      <c r="I5" s="7">
        <v>0.0</v>
      </c>
      <c r="J5" s="8" t="s">
        <v>28</v>
      </c>
      <c r="K5" s="9">
        <v>5.0</v>
      </c>
      <c r="L5" s="10" t="s">
        <v>29</v>
      </c>
      <c r="M5" s="11" t="s">
        <v>30</v>
      </c>
      <c r="N5" s="12">
        <v>100.0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31</v>
      </c>
      <c r="B6" s="5">
        <v>374.0</v>
      </c>
      <c r="C6" s="6" t="s">
        <v>32</v>
      </c>
      <c r="D6" s="5">
        <v>285.0</v>
      </c>
      <c r="E6" s="5">
        <f t="shared" si="1"/>
        <v>659</v>
      </c>
      <c r="F6" s="5">
        <f t="shared" si="2"/>
        <v>8</v>
      </c>
      <c r="G6" s="5" t="b">
        <v>0</v>
      </c>
      <c r="H6" s="7">
        <v>50.0</v>
      </c>
      <c r="I6" s="7">
        <v>0.0</v>
      </c>
      <c r="J6" s="8" t="s">
        <v>33</v>
      </c>
      <c r="K6" s="9">
        <v>4.0</v>
      </c>
      <c r="L6" s="10" t="s">
        <v>34</v>
      </c>
      <c r="M6" s="11" t="s">
        <v>35</v>
      </c>
      <c r="N6" s="12">
        <v>60.0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36</v>
      </c>
      <c r="B7" s="5">
        <v>568.0</v>
      </c>
      <c r="C7" s="6" t="s">
        <v>37</v>
      </c>
      <c r="D7" s="5">
        <v>399.0</v>
      </c>
      <c r="E7" s="5">
        <f t="shared" si="1"/>
        <v>967</v>
      </c>
      <c r="F7" s="5">
        <f t="shared" si="2"/>
        <v>8</v>
      </c>
      <c r="G7" s="5" t="b">
        <v>0</v>
      </c>
      <c r="H7" s="7">
        <v>50.0</v>
      </c>
      <c r="I7" s="7">
        <v>10.0</v>
      </c>
      <c r="J7" s="8" t="s">
        <v>38</v>
      </c>
      <c r="K7" s="9">
        <v>3.0</v>
      </c>
      <c r="L7" s="10" t="s">
        <v>39</v>
      </c>
      <c r="M7" s="11" t="s">
        <v>40</v>
      </c>
      <c r="N7" s="12">
        <v>50.0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41</v>
      </c>
      <c r="B8" s="5">
        <v>542.0</v>
      </c>
      <c r="C8" s="6" t="s">
        <v>42</v>
      </c>
      <c r="D8" s="5">
        <v>495.0</v>
      </c>
      <c r="E8" s="5">
        <f t="shared" si="1"/>
        <v>1037</v>
      </c>
      <c r="F8" s="5">
        <f t="shared" si="2"/>
        <v>7</v>
      </c>
      <c r="G8" s="5" t="b">
        <v>0</v>
      </c>
      <c r="H8" s="7">
        <v>50.0</v>
      </c>
      <c r="I8" s="7">
        <v>10.0</v>
      </c>
      <c r="J8" s="13"/>
      <c r="K8" s="13"/>
      <c r="L8" s="8" t="s">
        <v>43</v>
      </c>
      <c r="M8" s="14" t="s">
        <v>44</v>
      </c>
      <c r="N8" s="12">
        <v>50.0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45</v>
      </c>
      <c r="B9" s="5">
        <v>502.0</v>
      </c>
      <c r="C9" s="6" t="s">
        <v>46</v>
      </c>
      <c r="D9" s="5">
        <v>363.0</v>
      </c>
      <c r="E9" s="5">
        <f t="shared" si="1"/>
        <v>865</v>
      </c>
      <c r="F9" s="5">
        <f t="shared" si="2"/>
        <v>8</v>
      </c>
      <c r="G9" s="5" t="b">
        <v>0</v>
      </c>
      <c r="H9" s="7">
        <v>50.0</v>
      </c>
      <c r="I9" s="7">
        <v>0.0</v>
      </c>
      <c r="J9" s="13"/>
      <c r="K9" s="15"/>
      <c r="L9" s="16" t="s">
        <v>47</v>
      </c>
      <c r="M9" s="17" t="s">
        <v>48</v>
      </c>
      <c r="N9" s="12">
        <v>140.0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49</v>
      </c>
      <c r="B10" s="5">
        <v>378.0</v>
      </c>
      <c r="C10" s="6" t="s">
        <v>50</v>
      </c>
      <c r="D10" s="5">
        <v>495.0</v>
      </c>
      <c r="E10" s="5">
        <f t="shared" si="1"/>
        <v>873</v>
      </c>
      <c r="F10" s="5">
        <f t="shared" si="2"/>
        <v>8</v>
      </c>
      <c r="G10" s="5" t="b">
        <v>0</v>
      </c>
      <c r="H10" s="7">
        <v>50.0</v>
      </c>
      <c r="I10" s="7">
        <v>0.0</v>
      </c>
      <c r="J10" s="13"/>
      <c r="K10" s="13"/>
      <c r="L10" s="18"/>
      <c r="M10" s="18"/>
      <c r="N10" s="1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51</v>
      </c>
      <c r="B11" s="5">
        <v>549.0</v>
      </c>
      <c r="C11" s="6" t="s">
        <v>52</v>
      </c>
      <c r="D11" s="5">
        <v>540.0</v>
      </c>
      <c r="E11" s="5">
        <f t="shared" si="1"/>
        <v>1089</v>
      </c>
      <c r="F11" s="5">
        <f t="shared" si="2"/>
        <v>6</v>
      </c>
      <c r="G11" s="5" t="b">
        <v>0</v>
      </c>
      <c r="H11" s="7">
        <v>50.0</v>
      </c>
      <c r="I11" s="7">
        <v>10.0</v>
      </c>
      <c r="J11" s="13"/>
      <c r="K11" s="13"/>
      <c r="L11" s="18"/>
      <c r="M11" s="18"/>
      <c r="N11" s="1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53</v>
      </c>
      <c r="B12" s="5">
        <v>419.0</v>
      </c>
      <c r="C12" s="6" t="s">
        <v>54</v>
      </c>
      <c r="D12" s="5">
        <v>548.0</v>
      </c>
      <c r="E12" s="5">
        <f t="shared" si="1"/>
        <v>967</v>
      </c>
      <c r="F12" s="5">
        <f t="shared" si="2"/>
        <v>8</v>
      </c>
      <c r="G12" s="5" t="b">
        <v>0</v>
      </c>
      <c r="H12" s="7">
        <v>50.0</v>
      </c>
      <c r="I12" s="7">
        <v>0.0</v>
      </c>
      <c r="J12" s="13"/>
      <c r="K12" s="13"/>
      <c r="L12" s="18"/>
      <c r="M12" s="18"/>
      <c r="N12" s="1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55</v>
      </c>
      <c r="B13" s="5">
        <v>472.0</v>
      </c>
      <c r="C13" s="6" t="s">
        <v>56</v>
      </c>
      <c r="D13" s="5">
        <v>522.0</v>
      </c>
      <c r="E13" s="5">
        <f t="shared" si="1"/>
        <v>994</v>
      </c>
      <c r="F13" s="5">
        <f t="shared" si="2"/>
        <v>8</v>
      </c>
      <c r="G13" s="5" t="b">
        <v>0</v>
      </c>
      <c r="H13" s="7">
        <v>50.0</v>
      </c>
      <c r="I13" s="7">
        <v>0.0</v>
      </c>
      <c r="J13" s="13"/>
      <c r="K13" s="13"/>
      <c r="L13" s="19" t="s">
        <v>57</v>
      </c>
      <c r="M13" s="20"/>
      <c r="N13" s="2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58</v>
      </c>
      <c r="B14" s="5">
        <v>566.0</v>
      </c>
      <c r="C14" s="6" t="s">
        <v>59</v>
      </c>
      <c r="D14" s="5">
        <v>527.0</v>
      </c>
      <c r="E14" s="5">
        <f t="shared" si="1"/>
        <v>1093</v>
      </c>
      <c r="F14" s="5">
        <f t="shared" si="2"/>
        <v>6</v>
      </c>
      <c r="G14" s="5" t="b">
        <v>0</v>
      </c>
      <c r="H14" s="7">
        <v>50.0</v>
      </c>
      <c r="I14" s="7">
        <v>10.0</v>
      </c>
      <c r="J14" s="13"/>
      <c r="K14" s="13"/>
      <c r="L14" s="8" t="s">
        <v>60</v>
      </c>
      <c r="M14" s="22">
        <v>1185.0</v>
      </c>
      <c r="N14" s="2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61</v>
      </c>
      <c r="B15" s="5">
        <v>492.0</v>
      </c>
      <c r="C15" s="6" t="s">
        <v>62</v>
      </c>
      <c r="D15" s="5">
        <v>550.0</v>
      </c>
      <c r="E15" s="5">
        <f t="shared" si="1"/>
        <v>1042</v>
      </c>
      <c r="F15" s="5">
        <f t="shared" si="2"/>
        <v>7</v>
      </c>
      <c r="G15" s="5" t="b">
        <v>0</v>
      </c>
      <c r="H15" s="7">
        <v>50.0</v>
      </c>
      <c r="I15" s="7">
        <v>0.0</v>
      </c>
      <c r="J15" s="13"/>
      <c r="K15" s="13"/>
      <c r="L15" s="8" t="s">
        <v>63</v>
      </c>
      <c r="M15" s="22">
        <v>195.0</v>
      </c>
      <c r="N15" s="2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64</v>
      </c>
      <c r="B16" s="5">
        <v>336.0</v>
      </c>
      <c r="C16" s="6" t="s">
        <v>65</v>
      </c>
      <c r="D16" s="5">
        <v>431.0</v>
      </c>
      <c r="E16" s="5">
        <f t="shared" si="1"/>
        <v>767</v>
      </c>
      <c r="F16" s="5">
        <f t="shared" si="2"/>
        <v>8</v>
      </c>
      <c r="G16" s="5" t="b">
        <v>0</v>
      </c>
      <c r="H16" s="7">
        <v>50.0</v>
      </c>
      <c r="I16" s="7">
        <v>0.0</v>
      </c>
      <c r="J16" s="13"/>
      <c r="K16" s="13"/>
      <c r="L16" s="8" t="s">
        <v>66</v>
      </c>
      <c r="M16" s="23">
        <f>sum(M14:M15)</f>
        <v>1380</v>
      </c>
      <c r="N16" s="2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67</v>
      </c>
      <c r="B17" s="5">
        <v>512.0</v>
      </c>
      <c r="C17" s="6" t="s">
        <v>68</v>
      </c>
      <c r="D17" s="5">
        <v>402.0</v>
      </c>
      <c r="E17" s="5">
        <f t="shared" si="1"/>
        <v>914</v>
      </c>
      <c r="F17" s="5">
        <f t="shared" si="2"/>
        <v>8</v>
      </c>
      <c r="G17" s="5" t="b">
        <v>0</v>
      </c>
      <c r="H17" s="7">
        <v>50.0</v>
      </c>
      <c r="I17" s="7">
        <v>0.0</v>
      </c>
      <c r="J17" s="13"/>
      <c r="K17" s="13"/>
      <c r="L17" s="8" t="s">
        <v>69</v>
      </c>
      <c r="M17" s="23">
        <f>sum(M16/10)</f>
        <v>138</v>
      </c>
      <c r="N17" s="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70</v>
      </c>
      <c r="B18" s="5">
        <v>521.0</v>
      </c>
      <c r="C18" s="6" t="s">
        <v>71</v>
      </c>
      <c r="D18" s="5">
        <v>463.0</v>
      </c>
      <c r="E18" s="5">
        <f t="shared" si="1"/>
        <v>984</v>
      </c>
      <c r="F18" s="5">
        <f t="shared" si="2"/>
        <v>8</v>
      </c>
      <c r="G18" s="5" t="b">
        <v>0</v>
      </c>
      <c r="H18" s="7">
        <v>50.0</v>
      </c>
      <c r="I18" s="7">
        <v>10.0</v>
      </c>
      <c r="J18" s="13"/>
      <c r="K18" s="13"/>
      <c r="L18" s="24" t="s">
        <v>72</v>
      </c>
      <c r="M18" s="25">
        <v>1380.0</v>
      </c>
      <c r="N18" s="2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73</v>
      </c>
      <c r="B19" s="5">
        <v>442.0</v>
      </c>
      <c r="C19" s="6" t="s">
        <v>74</v>
      </c>
      <c r="D19" s="5">
        <v>440.0</v>
      </c>
      <c r="E19" s="5">
        <f t="shared" si="1"/>
        <v>882</v>
      </c>
      <c r="F19" s="5">
        <f t="shared" si="2"/>
        <v>8</v>
      </c>
      <c r="G19" s="5" t="b">
        <v>0</v>
      </c>
      <c r="H19" s="7">
        <v>50.0</v>
      </c>
      <c r="I19" s="7">
        <v>10.0</v>
      </c>
      <c r="J19" s="13"/>
      <c r="K19" s="13"/>
      <c r="L19" s="6" t="s">
        <v>75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76</v>
      </c>
      <c r="B20" s="5">
        <v>369.0</v>
      </c>
      <c r="C20" s="6" t="s">
        <v>77</v>
      </c>
      <c r="D20" s="5">
        <v>396.0</v>
      </c>
      <c r="E20" s="5">
        <f t="shared" si="1"/>
        <v>765</v>
      </c>
      <c r="F20" s="5">
        <f t="shared" si="2"/>
        <v>8</v>
      </c>
      <c r="G20" s="5" t="b">
        <v>0</v>
      </c>
      <c r="H20" s="7">
        <v>50.0</v>
      </c>
      <c r="I20" s="7">
        <v>10.0</v>
      </c>
      <c r="J20" s="13"/>
      <c r="K20" s="1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78</v>
      </c>
      <c r="B21" s="5">
        <v>391.0</v>
      </c>
      <c r="C21" s="6" t="s">
        <v>79</v>
      </c>
      <c r="D21" s="5">
        <v>588.0</v>
      </c>
      <c r="E21" s="5">
        <f t="shared" si="1"/>
        <v>979</v>
      </c>
      <c r="F21" s="5">
        <f t="shared" si="2"/>
        <v>8</v>
      </c>
      <c r="G21" s="5" t="b">
        <v>0</v>
      </c>
      <c r="H21" s="7">
        <v>50.0</v>
      </c>
      <c r="I21" s="7">
        <v>10.0</v>
      </c>
      <c r="J21" s="13"/>
      <c r="K21" s="1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80</v>
      </c>
      <c r="B22" s="5">
        <v>494.0</v>
      </c>
      <c r="C22" s="6" t="s">
        <v>81</v>
      </c>
      <c r="D22" s="5">
        <v>559.0</v>
      </c>
      <c r="E22" s="5">
        <f t="shared" si="1"/>
        <v>1053</v>
      </c>
      <c r="F22" s="5">
        <f t="shared" si="2"/>
        <v>7</v>
      </c>
      <c r="G22" s="5" t="b">
        <v>0</v>
      </c>
      <c r="H22" s="7">
        <v>50.0</v>
      </c>
      <c r="I22" s="7">
        <v>10.0</v>
      </c>
      <c r="J22" s="13"/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82</v>
      </c>
      <c r="B23" s="5">
        <v>495.0</v>
      </c>
      <c r="C23" s="6" t="s">
        <v>83</v>
      </c>
      <c r="D23" s="5">
        <v>495.0</v>
      </c>
      <c r="E23" s="5">
        <f t="shared" si="1"/>
        <v>990</v>
      </c>
      <c r="F23" s="5">
        <f t="shared" si="2"/>
        <v>8</v>
      </c>
      <c r="G23" s="5" t="b">
        <v>0</v>
      </c>
      <c r="H23" s="7">
        <v>50.0</v>
      </c>
      <c r="I23" s="7">
        <v>10.0</v>
      </c>
      <c r="J23" s="13"/>
      <c r="K23" s="1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84</v>
      </c>
      <c r="B24" s="5">
        <v>570.0</v>
      </c>
      <c r="C24" s="6" t="s">
        <v>85</v>
      </c>
      <c r="D24" s="5">
        <v>469.0</v>
      </c>
      <c r="E24" s="5">
        <f t="shared" si="1"/>
        <v>1039</v>
      </c>
      <c r="F24" s="5">
        <f t="shared" si="2"/>
        <v>7</v>
      </c>
      <c r="G24" s="5" t="b">
        <v>0</v>
      </c>
      <c r="H24" s="7">
        <v>50.0</v>
      </c>
      <c r="I24" s="7">
        <v>10.0</v>
      </c>
      <c r="J24" s="13"/>
      <c r="K24" s="1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86</v>
      </c>
      <c r="B25" s="5">
        <v>565.0</v>
      </c>
      <c r="C25" s="6" t="s">
        <v>87</v>
      </c>
      <c r="D25" s="5">
        <v>378.0</v>
      </c>
      <c r="E25" s="5">
        <f t="shared" si="1"/>
        <v>943</v>
      </c>
      <c r="F25" s="5">
        <f t="shared" si="2"/>
        <v>8</v>
      </c>
      <c r="G25" s="5" t="b">
        <v>0</v>
      </c>
      <c r="H25" s="7">
        <v>50.0</v>
      </c>
      <c r="I25" s="7">
        <v>10.0</v>
      </c>
      <c r="J25" s="13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88</v>
      </c>
      <c r="B26" s="5">
        <v>394.0</v>
      </c>
      <c r="C26" s="6" t="s">
        <v>89</v>
      </c>
      <c r="D26" s="5">
        <v>528.0</v>
      </c>
      <c r="E26" s="5">
        <f t="shared" si="1"/>
        <v>922</v>
      </c>
      <c r="F26" s="5">
        <f t="shared" si="2"/>
        <v>8</v>
      </c>
      <c r="G26" s="5" t="b">
        <v>0</v>
      </c>
      <c r="H26" s="7">
        <v>50.0</v>
      </c>
      <c r="I26" s="7">
        <v>0.0</v>
      </c>
      <c r="J26" s="13"/>
      <c r="K26" s="1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/>
      <c r="B27" s="26"/>
      <c r="C27" s="3"/>
      <c r="D27" s="26"/>
      <c r="E27" s="5" t="str">
        <f t="shared" si="1"/>
        <v/>
      </c>
      <c r="F27" s="5" t="str">
        <f t="shared" si="2"/>
        <v/>
      </c>
      <c r="G27" s="5" t="b">
        <v>0</v>
      </c>
      <c r="H27" s="27"/>
      <c r="I27" s="27"/>
      <c r="J27" s="13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/>
      <c r="B28" s="26"/>
      <c r="C28" s="3"/>
      <c r="D28" s="26"/>
      <c r="E28" s="5" t="str">
        <f t="shared" si="1"/>
        <v/>
      </c>
      <c r="F28" s="5" t="str">
        <f t="shared" si="2"/>
        <v/>
      </c>
      <c r="G28" s="5" t="b">
        <v>0</v>
      </c>
      <c r="H28" s="27"/>
      <c r="I28" s="27"/>
      <c r="J28" s="13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/>
      <c r="B29" s="26"/>
      <c r="C29" s="3"/>
      <c r="D29" s="26"/>
      <c r="E29" s="5" t="str">
        <f t="shared" si="1"/>
        <v/>
      </c>
      <c r="F29" s="5" t="str">
        <f t="shared" si="2"/>
        <v/>
      </c>
      <c r="G29" s="5" t="b">
        <v>0</v>
      </c>
      <c r="H29" s="27"/>
      <c r="I29" s="27"/>
      <c r="J29" s="13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/>
      <c r="B30" s="26"/>
      <c r="C30" s="3"/>
      <c r="D30" s="26"/>
      <c r="E30" s="5" t="str">
        <f t="shared" si="1"/>
        <v/>
      </c>
      <c r="F30" s="5" t="str">
        <f t="shared" si="2"/>
        <v/>
      </c>
      <c r="G30" s="5" t="b">
        <v>0</v>
      </c>
      <c r="H30" s="27"/>
      <c r="I30" s="27"/>
      <c r="J30" s="13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/>
      <c r="B31" s="26"/>
      <c r="C31" s="3"/>
      <c r="D31" s="26"/>
      <c r="E31" s="5" t="str">
        <f t="shared" si="1"/>
        <v/>
      </c>
      <c r="F31" s="5" t="str">
        <f t="shared" si="2"/>
        <v/>
      </c>
      <c r="G31" s="5" t="b">
        <v>0</v>
      </c>
      <c r="H31" s="27"/>
      <c r="I31" s="27"/>
      <c r="J31" s="13"/>
      <c r="K31" s="1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6"/>
      <c r="C32" s="3"/>
      <c r="D32" s="26"/>
      <c r="E32" s="5" t="str">
        <f t="shared" si="1"/>
        <v/>
      </c>
      <c r="F32" s="5" t="str">
        <f t="shared" si="2"/>
        <v/>
      </c>
      <c r="G32" s="5" t="b">
        <v>0</v>
      </c>
      <c r="H32" s="27"/>
      <c r="I32" s="27"/>
      <c r="J32" s="13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6"/>
      <c r="C33" s="3"/>
      <c r="D33" s="26"/>
      <c r="E33" s="5" t="str">
        <f t="shared" si="1"/>
        <v/>
      </c>
      <c r="F33" s="5" t="str">
        <f t="shared" si="2"/>
        <v/>
      </c>
      <c r="G33" s="5" t="b">
        <v>0</v>
      </c>
      <c r="H33" s="27"/>
      <c r="I33" s="27"/>
      <c r="J33" s="13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6"/>
      <c r="C34" s="3"/>
      <c r="D34" s="26"/>
      <c r="E34" s="5" t="str">
        <f t="shared" si="1"/>
        <v/>
      </c>
      <c r="F34" s="5" t="str">
        <f t="shared" si="2"/>
        <v/>
      </c>
      <c r="G34" s="5" t="b">
        <v>0</v>
      </c>
      <c r="H34" s="27"/>
      <c r="I34" s="27"/>
      <c r="J34" s="13"/>
      <c r="K34" s="1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6"/>
      <c r="C35" s="3"/>
      <c r="D35" s="26"/>
      <c r="E35" s="5" t="str">
        <f t="shared" si="1"/>
        <v/>
      </c>
      <c r="F35" s="5" t="str">
        <f t="shared" si="2"/>
        <v/>
      </c>
      <c r="G35" s="5" t="b">
        <v>0</v>
      </c>
      <c r="H35" s="27"/>
      <c r="I35" s="27"/>
      <c r="J35" s="13"/>
      <c r="K35" s="1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26"/>
      <c r="C36" s="3"/>
      <c r="D36" s="26"/>
      <c r="E36" s="5" t="str">
        <f t="shared" si="1"/>
        <v/>
      </c>
      <c r="F36" s="5" t="str">
        <f t="shared" si="2"/>
        <v/>
      </c>
      <c r="G36" s="5" t="b">
        <v>0</v>
      </c>
      <c r="H36" s="27"/>
      <c r="I36" s="27"/>
      <c r="J36" s="13"/>
      <c r="K36" s="1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26"/>
      <c r="C37" s="3"/>
      <c r="D37" s="26"/>
      <c r="E37" s="5" t="str">
        <f t="shared" si="1"/>
        <v/>
      </c>
      <c r="F37" s="5" t="str">
        <f t="shared" si="2"/>
        <v/>
      </c>
      <c r="G37" s="5" t="b">
        <v>0</v>
      </c>
      <c r="H37" s="27"/>
      <c r="I37" s="27"/>
      <c r="J37" s="13"/>
      <c r="K37" s="1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26"/>
      <c r="C38" s="3"/>
      <c r="D38" s="26"/>
      <c r="E38" s="5" t="str">
        <f t="shared" si="1"/>
        <v/>
      </c>
      <c r="F38" s="5" t="str">
        <f t="shared" si="2"/>
        <v/>
      </c>
      <c r="G38" s="5" t="b">
        <v>0</v>
      </c>
      <c r="H38" s="27"/>
      <c r="I38" s="27"/>
      <c r="J38" s="13"/>
      <c r="K38" s="1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6"/>
      <c r="C39" s="3"/>
      <c r="D39" s="26"/>
      <c r="E39" s="5" t="str">
        <f t="shared" si="1"/>
        <v/>
      </c>
      <c r="F39" s="5" t="str">
        <f t="shared" si="2"/>
        <v/>
      </c>
      <c r="G39" s="5" t="b">
        <v>0</v>
      </c>
      <c r="H39" s="27"/>
      <c r="I39" s="27"/>
      <c r="J39" s="13"/>
      <c r="K39" s="1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26"/>
      <c r="C40" s="3"/>
      <c r="D40" s="26"/>
      <c r="E40" s="5" t="str">
        <f t="shared" si="1"/>
        <v/>
      </c>
      <c r="F40" s="5" t="str">
        <f t="shared" si="2"/>
        <v/>
      </c>
      <c r="G40" s="5" t="b">
        <v>0</v>
      </c>
      <c r="H40" s="27"/>
      <c r="I40" s="27"/>
      <c r="J40" s="13"/>
      <c r="K40" s="1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26"/>
      <c r="C41" s="3"/>
      <c r="D41" s="26"/>
      <c r="E41" s="5" t="str">
        <f t="shared" si="1"/>
        <v/>
      </c>
      <c r="F41" s="5" t="str">
        <f t="shared" si="2"/>
        <v/>
      </c>
      <c r="G41" s="5" t="b">
        <v>0</v>
      </c>
      <c r="H41" s="27"/>
      <c r="I41" s="27"/>
      <c r="J41" s="13"/>
      <c r="K41" s="1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8">
        <f>countif(A2:A41,"&lt;&gt;")</f>
        <v>25</v>
      </c>
      <c r="B42" s="29"/>
      <c r="C42" s="29"/>
      <c r="D42" s="29"/>
      <c r="E42" s="29"/>
      <c r="F42" s="29"/>
      <c r="G42" s="30"/>
      <c r="H42" s="31" t="s">
        <v>90</v>
      </c>
      <c r="I42" s="31" t="s">
        <v>90</v>
      </c>
      <c r="J42" s="31" t="s">
        <v>91</v>
      </c>
      <c r="K42" s="31" t="s">
        <v>92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26"/>
      <c r="C43" s="3"/>
      <c r="D43" s="26"/>
      <c r="E43" s="3"/>
      <c r="F43" s="3"/>
      <c r="G43" s="32" t="s">
        <v>93</v>
      </c>
      <c r="H43" s="33">
        <f t="shared" ref="H43:I43" si="3">SUM(H2:H41)</f>
        <v>1250</v>
      </c>
      <c r="I43" s="34">
        <f t="shared" si="3"/>
        <v>150</v>
      </c>
      <c r="J43" s="35">
        <f>if(A42&gt;19,200,0)</f>
        <v>200</v>
      </c>
      <c r="K43" s="36">
        <f>SUM(H43,I43,J43)</f>
        <v>1600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6"/>
      <c r="B44" s="26"/>
      <c r="C44" s="3"/>
      <c r="D44" s="26"/>
      <c r="E44" s="3"/>
      <c r="F44" s="3"/>
      <c r="H44" s="37">
        <f>sum(H43-A42*10)</f>
        <v>1000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26"/>
      <c r="C45" s="3"/>
      <c r="D45" s="2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26"/>
      <c r="C46" s="3"/>
      <c r="D46" s="2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26"/>
      <c r="C47" s="3"/>
      <c r="D47" s="2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26"/>
      <c r="C48" s="3"/>
      <c r="D48" s="2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26"/>
      <c r="C49" s="3"/>
      <c r="D49" s="2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26"/>
      <c r="C50" s="3"/>
      <c r="D50" s="2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26"/>
      <c r="C51" s="3"/>
      <c r="D51" s="2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26"/>
      <c r="C52" s="3"/>
      <c r="D52" s="2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26"/>
      <c r="C53" s="3"/>
      <c r="D53" s="2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26"/>
      <c r="C54" s="3"/>
      <c r="D54" s="2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26"/>
      <c r="C55" s="3"/>
      <c r="D55" s="2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26"/>
      <c r="C56" s="3"/>
      <c r="D56" s="2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6"/>
      <c r="C57" s="3"/>
      <c r="D57" s="2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26"/>
      <c r="C58" s="3"/>
      <c r="D58" s="2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6"/>
      <c r="C59" s="3"/>
      <c r="D59" s="2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6"/>
      <c r="C60" s="3"/>
      <c r="D60" s="2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6"/>
      <c r="C61" s="3"/>
      <c r="D61" s="2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26"/>
      <c r="C62" s="3"/>
      <c r="D62" s="2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6"/>
      <c r="C63" s="3"/>
      <c r="D63" s="2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6"/>
      <c r="C64" s="3"/>
      <c r="D64" s="2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6"/>
      <c r="C65" s="3"/>
      <c r="D65" s="2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6"/>
      <c r="C66" s="3"/>
      <c r="D66" s="2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6"/>
      <c r="C67" s="3"/>
      <c r="D67" s="2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26"/>
      <c r="C68" s="3"/>
      <c r="D68" s="2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6"/>
      <c r="C69" s="3"/>
      <c r="D69" s="2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6"/>
      <c r="C70" s="3"/>
      <c r="D70" s="2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6"/>
      <c r="C71" s="3"/>
      <c r="D71" s="2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6"/>
      <c r="C72" s="3"/>
      <c r="D72" s="2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6"/>
      <c r="C73" s="3"/>
      <c r="D73" s="2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26"/>
      <c r="C74" s="3"/>
      <c r="D74" s="2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6"/>
      <c r="C75" s="3"/>
      <c r="D75" s="2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6"/>
      <c r="C76" s="3"/>
      <c r="D76" s="2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6"/>
      <c r="C77" s="3"/>
      <c r="D77" s="2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6"/>
      <c r="C78" s="3"/>
      <c r="D78" s="2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6"/>
      <c r="C79" s="3"/>
      <c r="D79" s="2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26"/>
      <c r="C80" s="3"/>
      <c r="D80" s="2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26"/>
      <c r="C81" s="3"/>
      <c r="D81" s="2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6"/>
      <c r="C82" s="3"/>
      <c r="D82" s="2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6"/>
      <c r="C83" s="3"/>
      <c r="D83" s="2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26"/>
      <c r="C84" s="3"/>
      <c r="D84" s="2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26"/>
      <c r="C85" s="3"/>
      <c r="D85" s="2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26"/>
      <c r="C86" s="3"/>
      <c r="D86" s="2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26"/>
      <c r="C87" s="3"/>
      <c r="D87" s="2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26"/>
      <c r="C88" s="3"/>
      <c r="D88" s="2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26"/>
      <c r="C89" s="3"/>
      <c r="D89" s="2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26"/>
      <c r="C90" s="3"/>
      <c r="D90" s="2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26"/>
      <c r="C91" s="3"/>
      <c r="D91" s="2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26"/>
      <c r="C92" s="3"/>
      <c r="D92" s="2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26"/>
      <c r="C93" s="3"/>
      <c r="D93" s="2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26"/>
      <c r="C94" s="3"/>
      <c r="D94" s="2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26"/>
      <c r="C95" s="3"/>
      <c r="D95" s="2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26"/>
      <c r="C96" s="3"/>
      <c r="D96" s="2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26"/>
      <c r="C97" s="3"/>
      <c r="D97" s="2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26"/>
      <c r="C98" s="3"/>
      <c r="D98" s="2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26"/>
      <c r="C99" s="3"/>
      <c r="D99" s="2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26"/>
      <c r="C100" s="3"/>
      <c r="D100" s="2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26"/>
      <c r="C101" s="3"/>
      <c r="D101" s="2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26"/>
      <c r="C102" s="3"/>
      <c r="D102" s="2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26"/>
      <c r="C103" s="3"/>
      <c r="D103" s="2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26"/>
      <c r="C104" s="3"/>
      <c r="D104" s="2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26"/>
      <c r="C105" s="3"/>
      <c r="D105" s="2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26"/>
      <c r="C106" s="3"/>
      <c r="D106" s="2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26"/>
      <c r="C107" s="3"/>
      <c r="D107" s="2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26"/>
      <c r="C108" s="3"/>
      <c r="D108" s="2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26"/>
      <c r="C109" s="3"/>
      <c r="D109" s="2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26"/>
      <c r="C110" s="3"/>
      <c r="D110" s="2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26"/>
      <c r="C111" s="3"/>
      <c r="D111" s="2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26"/>
      <c r="C112" s="3"/>
      <c r="D112" s="2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26"/>
      <c r="C113" s="3"/>
      <c r="D113" s="2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26"/>
      <c r="C114" s="3"/>
      <c r="D114" s="2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26"/>
      <c r="C115" s="3"/>
      <c r="D115" s="2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26"/>
      <c r="C116" s="3"/>
      <c r="D116" s="2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26"/>
      <c r="C117" s="3"/>
      <c r="D117" s="2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26"/>
      <c r="C118" s="3"/>
      <c r="D118" s="2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26"/>
      <c r="C119" s="3"/>
      <c r="D119" s="2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26"/>
      <c r="C120" s="3"/>
      <c r="D120" s="2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26"/>
      <c r="C121" s="3"/>
      <c r="D121" s="2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26"/>
      <c r="C122" s="3"/>
      <c r="D122" s="2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26"/>
      <c r="C123" s="3"/>
      <c r="D123" s="2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26"/>
      <c r="C124" s="3"/>
      <c r="D124" s="2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26"/>
      <c r="C125" s="3"/>
      <c r="D125" s="2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26"/>
      <c r="C126" s="3"/>
      <c r="D126" s="2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26"/>
      <c r="C127" s="3"/>
      <c r="D127" s="2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26"/>
      <c r="C128" s="3"/>
      <c r="D128" s="2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26"/>
      <c r="C129" s="3"/>
      <c r="D129" s="2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26"/>
      <c r="C130" s="3"/>
      <c r="D130" s="2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26"/>
      <c r="C131" s="3"/>
      <c r="D131" s="2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26"/>
      <c r="C132" s="3"/>
      <c r="D132" s="2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26"/>
      <c r="C133" s="3"/>
      <c r="D133" s="2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26"/>
      <c r="C134" s="3"/>
      <c r="D134" s="2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26"/>
      <c r="C135" s="3"/>
      <c r="D135" s="2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26"/>
      <c r="C136" s="3"/>
      <c r="D136" s="2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26"/>
      <c r="C137" s="3"/>
      <c r="D137" s="2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26"/>
      <c r="C138" s="3"/>
      <c r="D138" s="2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26"/>
      <c r="C139" s="3"/>
      <c r="D139" s="2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26"/>
      <c r="C140" s="3"/>
      <c r="D140" s="2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26"/>
      <c r="C141" s="3"/>
      <c r="D141" s="2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26"/>
      <c r="C142" s="3"/>
      <c r="D142" s="2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26"/>
      <c r="C143" s="3"/>
      <c r="D143" s="2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26"/>
      <c r="C144" s="3"/>
      <c r="D144" s="2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26"/>
      <c r="C145" s="3"/>
      <c r="D145" s="2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26"/>
      <c r="C146" s="3"/>
      <c r="D146" s="2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26"/>
      <c r="C147" s="3"/>
      <c r="D147" s="2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26"/>
      <c r="C148" s="3"/>
      <c r="D148" s="2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26"/>
      <c r="C149" s="3"/>
      <c r="D149" s="2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26"/>
      <c r="C150" s="3"/>
      <c r="D150" s="2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26"/>
      <c r="C151" s="3"/>
      <c r="D151" s="2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26"/>
      <c r="C152" s="3"/>
      <c r="D152" s="2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26"/>
      <c r="C153" s="3"/>
      <c r="D153" s="2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26"/>
      <c r="C154" s="3"/>
      <c r="D154" s="2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26"/>
      <c r="C155" s="3"/>
      <c r="D155" s="2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26"/>
      <c r="C156" s="3"/>
      <c r="D156" s="2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26"/>
      <c r="C157" s="3"/>
      <c r="D157" s="2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26"/>
      <c r="C158" s="3"/>
      <c r="D158" s="2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26"/>
      <c r="C159" s="3"/>
      <c r="D159" s="2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26"/>
      <c r="C160" s="3"/>
      <c r="D160" s="2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26"/>
      <c r="C161" s="3"/>
      <c r="D161" s="2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26"/>
      <c r="C162" s="3"/>
      <c r="D162" s="2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26"/>
      <c r="C163" s="3"/>
      <c r="D163" s="2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26"/>
      <c r="C164" s="3"/>
      <c r="D164" s="2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26"/>
      <c r="C165" s="3"/>
      <c r="D165" s="2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26"/>
      <c r="C166" s="3"/>
      <c r="D166" s="2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26"/>
      <c r="C167" s="3"/>
      <c r="D167" s="2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26"/>
      <c r="C168" s="3"/>
      <c r="D168" s="2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26"/>
      <c r="C169" s="3"/>
      <c r="D169" s="2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26"/>
      <c r="C170" s="3"/>
      <c r="D170" s="2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26"/>
      <c r="C171" s="3"/>
      <c r="D171" s="2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26"/>
      <c r="C172" s="3"/>
      <c r="D172" s="2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26"/>
      <c r="C173" s="3"/>
      <c r="D173" s="2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26"/>
      <c r="C174" s="3"/>
      <c r="D174" s="2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26"/>
      <c r="C175" s="3"/>
      <c r="D175" s="2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26"/>
      <c r="C176" s="3"/>
      <c r="D176" s="2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26"/>
      <c r="C177" s="3"/>
      <c r="D177" s="2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26"/>
      <c r="C178" s="3"/>
      <c r="D178" s="2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26"/>
      <c r="C179" s="3"/>
      <c r="D179" s="2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26"/>
      <c r="C180" s="3"/>
      <c r="D180" s="2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26"/>
      <c r="C181" s="3"/>
      <c r="D181" s="2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26"/>
      <c r="C182" s="3"/>
      <c r="D182" s="2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26"/>
      <c r="C183" s="3"/>
      <c r="D183" s="2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26"/>
      <c r="C184" s="3"/>
      <c r="D184" s="2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26"/>
      <c r="C185" s="3"/>
      <c r="D185" s="2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26"/>
      <c r="C186" s="3"/>
      <c r="D186" s="2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26"/>
      <c r="C187" s="3"/>
      <c r="D187" s="2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26"/>
      <c r="C188" s="3"/>
      <c r="D188" s="2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26"/>
      <c r="C189" s="3"/>
      <c r="D189" s="2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26"/>
      <c r="C190" s="3"/>
      <c r="D190" s="2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26"/>
      <c r="C191" s="3"/>
      <c r="D191" s="2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26"/>
      <c r="C192" s="3"/>
      <c r="D192" s="2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26"/>
      <c r="C193" s="3"/>
      <c r="D193" s="2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26"/>
      <c r="C194" s="3"/>
      <c r="D194" s="2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26"/>
      <c r="C195" s="3"/>
      <c r="D195" s="2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26"/>
      <c r="C196" s="3"/>
      <c r="D196" s="2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26"/>
      <c r="C197" s="3"/>
      <c r="D197" s="2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26"/>
      <c r="C198" s="3"/>
      <c r="D198" s="2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26"/>
      <c r="C199" s="3"/>
      <c r="D199" s="2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26"/>
      <c r="C200" s="3"/>
      <c r="D200" s="2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26"/>
      <c r="C201" s="3"/>
      <c r="D201" s="2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26"/>
      <c r="C202" s="3"/>
      <c r="D202" s="2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26"/>
      <c r="C203" s="3"/>
      <c r="D203" s="2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26"/>
      <c r="C204" s="3"/>
      <c r="D204" s="2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26"/>
      <c r="C205" s="3"/>
      <c r="D205" s="2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26"/>
      <c r="C206" s="3"/>
      <c r="D206" s="2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26"/>
      <c r="C207" s="3"/>
      <c r="D207" s="2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26"/>
      <c r="C208" s="3"/>
      <c r="D208" s="2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26"/>
      <c r="C209" s="3"/>
      <c r="D209" s="2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26"/>
      <c r="C210" s="3"/>
      <c r="D210" s="2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26"/>
      <c r="C211" s="3"/>
      <c r="D211" s="2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26"/>
      <c r="C212" s="3"/>
      <c r="D212" s="2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26"/>
      <c r="C213" s="3"/>
      <c r="D213" s="2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26"/>
      <c r="C214" s="3"/>
      <c r="D214" s="2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26"/>
      <c r="C215" s="3"/>
      <c r="D215" s="2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26"/>
      <c r="C216" s="3"/>
      <c r="D216" s="2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26"/>
      <c r="C217" s="3"/>
      <c r="D217" s="2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26"/>
      <c r="C218" s="3"/>
      <c r="D218" s="2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26"/>
      <c r="C219" s="3"/>
      <c r="D219" s="2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26"/>
      <c r="C220" s="3"/>
      <c r="D220" s="2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26"/>
      <c r="C221" s="3"/>
      <c r="D221" s="2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26"/>
      <c r="C222" s="3"/>
      <c r="D222" s="2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26"/>
      <c r="C223" s="3"/>
      <c r="D223" s="2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26"/>
      <c r="C224" s="3"/>
      <c r="D224" s="2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26"/>
      <c r="C225" s="3"/>
      <c r="D225" s="2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26"/>
      <c r="C226" s="3"/>
      <c r="D226" s="2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26"/>
      <c r="C227" s="3"/>
      <c r="D227" s="2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26"/>
      <c r="C228" s="3"/>
      <c r="D228" s="2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26"/>
      <c r="C229" s="3"/>
      <c r="D229" s="2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26"/>
      <c r="C230" s="3"/>
      <c r="D230" s="2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26"/>
      <c r="C231" s="3"/>
      <c r="D231" s="2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26"/>
      <c r="C232" s="3"/>
      <c r="D232" s="2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26"/>
      <c r="C233" s="3"/>
      <c r="D233" s="2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26"/>
      <c r="C234" s="3"/>
      <c r="D234" s="2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26"/>
      <c r="C235" s="3"/>
      <c r="D235" s="2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26"/>
      <c r="C236" s="3"/>
      <c r="D236" s="2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26"/>
      <c r="C237" s="3"/>
      <c r="D237" s="2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26"/>
      <c r="C238" s="3"/>
      <c r="D238" s="2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26"/>
      <c r="C239" s="3"/>
      <c r="D239" s="2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26"/>
      <c r="C240" s="3"/>
      <c r="D240" s="2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26"/>
      <c r="C241" s="3"/>
      <c r="D241" s="2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26"/>
      <c r="C242" s="3"/>
      <c r="D242" s="2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26"/>
      <c r="C243" s="3"/>
      <c r="D243" s="2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26"/>
      <c r="C244" s="3"/>
      <c r="D244" s="2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26"/>
      <c r="C245" s="3"/>
      <c r="D245" s="2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26"/>
      <c r="C246" s="3"/>
      <c r="D246" s="2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26"/>
      <c r="C247" s="3"/>
      <c r="D247" s="2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26"/>
      <c r="C248" s="3"/>
      <c r="D248" s="2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26"/>
      <c r="C249" s="3"/>
      <c r="D249" s="2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26"/>
      <c r="C250" s="3"/>
      <c r="D250" s="2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26"/>
      <c r="C251" s="3"/>
      <c r="D251" s="2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26"/>
      <c r="C252" s="3"/>
      <c r="D252" s="2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26"/>
      <c r="C253" s="3"/>
      <c r="D253" s="2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26"/>
      <c r="C254" s="3"/>
      <c r="D254" s="2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26"/>
      <c r="C255" s="3"/>
      <c r="D255" s="2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26"/>
      <c r="C256" s="3"/>
      <c r="D256" s="2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26"/>
      <c r="C257" s="3"/>
      <c r="D257" s="2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26"/>
      <c r="C258" s="3"/>
      <c r="D258" s="2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26"/>
      <c r="C259" s="3"/>
      <c r="D259" s="2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26"/>
      <c r="C260" s="3"/>
      <c r="D260" s="2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26"/>
      <c r="C261" s="3"/>
      <c r="D261" s="2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26"/>
      <c r="C262" s="3"/>
      <c r="D262" s="2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26"/>
      <c r="C263" s="3"/>
      <c r="D263" s="2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26"/>
      <c r="C264" s="3"/>
      <c r="D264" s="2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26"/>
      <c r="C265" s="3"/>
      <c r="D265" s="2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26"/>
      <c r="C266" s="3"/>
      <c r="D266" s="2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26"/>
      <c r="C267" s="3"/>
      <c r="D267" s="2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26"/>
      <c r="C268" s="3"/>
      <c r="D268" s="2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26"/>
      <c r="C269" s="3"/>
      <c r="D269" s="2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26"/>
      <c r="C270" s="3"/>
      <c r="D270" s="2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26"/>
      <c r="C271" s="3"/>
      <c r="D271" s="2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26"/>
      <c r="C272" s="3"/>
      <c r="D272" s="2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26"/>
      <c r="C273" s="3"/>
      <c r="D273" s="2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26"/>
      <c r="C274" s="3"/>
      <c r="D274" s="2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26"/>
      <c r="C275" s="3"/>
      <c r="D275" s="2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26"/>
      <c r="C276" s="3"/>
      <c r="D276" s="2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26"/>
      <c r="C277" s="3"/>
      <c r="D277" s="2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26"/>
      <c r="C278" s="3"/>
      <c r="D278" s="2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26"/>
      <c r="C279" s="3"/>
      <c r="D279" s="2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26"/>
      <c r="C280" s="3"/>
      <c r="D280" s="2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26"/>
      <c r="C281" s="3"/>
      <c r="D281" s="2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26"/>
      <c r="C282" s="3"/>
      <c r="D282" s="2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26"/>
      <c r="C283" s="3"/>
      <c r="D283" s="2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26"/>
      <c r="C284" s="3"/>
      <c r="D284" s="2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26"/>
      <c r="C285" s="3"/>
      <c r="D285" s="2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26"/>
      <c r="C286" s="3"/>
      <c r="D286" s="2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26"/>
      <c r="C287" s="3"/>
      <c r="D287" s="2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26"/>
      <c r="C288" s="3"/>
      <c r="D288" s="2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26"/>
      <c r="C289" s="3"/>
      <c r="D289" s="2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26"/>
      <c r="C290" s="3"/>
      <c r="D290" s="2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26"/>
      <c r="C291" s="3"/>
      <c r="D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26"/>
      <c r="C292" s="3"/>
      <c r="D292" s="2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26"/>
      <c r="C293" s="3"/>
      <c r="D293" s="2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26"/>
      <c r="C294" s="3"/>
      <c r="D294" s="2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26"/>
      <c r="C295" s="3"/>
      <c r="D295" s="2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26"/>
      <c r="C296" s="3"/>
      <c r="D296" s="2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26"/>
      <c r="C297" s="3"/>
      <c r="D297" s="2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26"/>
      <c r="C298" s="3"/>
      <c r="D298" s="2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26"/>
      <c r="C299" s="3"/>
      <c r="D299" s="2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26"/>
      <c r="C300" s="3"/>
      <c r="D300" s="2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26"/>
      <c r="C301" s="3"/>
      <c r="D301" s="2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26"/>
      <c r="C302" s="3"/>
      <c r="D302" s="2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26"/>
      <c r="C303" s="3"/>
      <c r="D303" s="2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26"/>
      <c r="C304" s="3"/>
      <c r="D304" s="2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26"/>
      <c r="C305" s="3"/>
      <c r="D305" s="2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26"/>
      <c r="C306" s="3"/>
      <c r="D306" s="2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26"/>
      <c r="C307" s="3"/>
      <c r="D307" s="2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26"/>
      <c r="C308" s="3"/>
      <c r="D308" s="2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26"/>
      <c r="C309" s="3"/>
      <c r="D309" s="2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26"/>
      <c r="C310" s="3"/>
      <c r="D310" s="2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26"/>
      <c r="C311" s="3"/>
      <c r="D311" s="2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26"/>
      <c r="C312" s="3"/>
      <c r="D312" s="2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26"/>
      <c r="C313" s="3"/>
      <c r="D313" s="2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26"/>
      <c r="C314" s="3"/>
      <c r="D314" s="2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26"/>
      <c r="C315" s="3"/>
      <c r="D315" s="2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26"/>
      <c r="C316" s="3"/>
      <c r="D316" s="2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26"/>
      <c r="C317" s="3"/>
      <c r="D317" s="2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26"/>
      <c r="C318" s="3"/>
      <c r="D318" s="2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26"/>
      <c r="C319" s="3"/>
      <c r="D319" s="2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26"/>
      <c r="C320" s="3"/>
      <c r="D320" s="2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26"/>
      <c r="C321" s="3"/>
      <c r="D321" s="2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26"/>
      <c r="C322" s="3"/>
      <c r="D322" s="2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26"/>
      <c r="C323" s="3"/>
      <c r="D323" s="2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26"/>
      <c r="C324" s="3"/>
      <c r="D324" s="2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26"/>
      <c r="C325" s="3"/>
      <c r="D325" s="2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26"/>
      <c r="C326" s="3"/>
      <c r="D326" s="2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26"/>
      <c r="C327" s="3"/>
      <c r="D327" s="2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26"/>
      <c r="C328" s="3"/>
      <c r="D328" s="2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26"/>
      <c r="C329" s="3"/>
      <c r="D329" s="2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26"/>
      <c r="C330" s="3"/>
      <c r="D330" s="2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26"/>
      <c r="C331" s="3"/>
      <c r="D331" s="2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26"/>
      <c r="C332" s="3"/>
      <c r="D332" s="2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26"/>
      <c r="C333" s="3"/>
      <c r="D333" s="2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26"/>
      <c r="C334" s="3"/>
      <c r="D334" s="2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26"/>
      <c r="C335" s="3"/>
      <c r="D335" s="2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26"/>
      <c r="C336" s="3"/>
      <c r="D336" s="2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26"/>
      <c r="C337" s="3"/>
      <c r="D337" s="2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26"/>
      <c r="C338" s="3"/>
      <c r="D338" s="2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26"/>
      <c r="C339" s="3"/>
      <c r="D339" s="2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26"/>
      <c r="C340" s="3"/>
      <c r="D340" s="2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26"/>
      <c r="C341" s="3"/>
      <c r="D341" s="2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26"/>
      <c r="C342" s="3"/>
      <c r="D342" s="2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26"/>
      <c r="C343" s="3"/>
      <c r="D343" s="2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26"/>
      <c r="C344" s="3"/>
      <c r="D344" s="2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26"/>
      <c r="C345" s="3"/>
      <c r="D345" s="2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26"/>
      <c r="C346" s="3"/>
      <c r="D346" s="2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26"/>
      <c r="C347" s="3"/>
      <c r="D347" s="2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26"/>
      <c r="C348" s="3"/>
      <c r="D348" s="2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26"/>
      <c r="C349" s="3"/>
      <c r="D349" s="2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26"/>
      <c r="C350" s="3"/>
      <c r="D350" s="2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26"/>
      <c r="C351" s="3"/>
      <c r="D351" s="2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26"/>
      <c r="C352" s="3"/>
      <c r="D352" s="2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26"/>
      <c r="C353" s="3"/>
      <c r="D353" s="2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26"/>
      <c r="C354" s="3"/>
      <c r="D354" s="2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26"/>
      <c r="C355" s="3"/>
      <c r="D355" s="2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26"/>
      <c r="C356" s="3"/>
      <c r="D356" s="2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26"/>
      <c r="C357" s="3"/>
      <c r="D357" s="2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26"/>
      <c r="C358" s="3"/>
      <c r="D358" s="2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26"/>
      <c r="C359" s="3"/>
      <c r="D359" s="2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26"/>
      <c r="C360" s="3"/>
      <c r="D360" s="2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26"/>
      <c r="C361" s="3"/>
      <c r="D361" s="2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26"/>
      <c r="C362" s="3"/>
      <c r="D362" s="2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26"/>
      <c r="C363" s="3"/>
      <c r="D363" s="2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26"/>
      <c r="C364" s="3"/>
      <c r="D364" s="2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26"/>
      <c r="C365" s="3"/>
      <c r="D365" s="2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26"/>
      <c r="C366" s="3"/>
      <c r="D366" s="2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26"/>
      <c r="C367" s="3"/>
      <c r="D367" s="2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26"/>
      <c r="C368" s="3"/>
      <c r="D368" s="2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26"/>
      <c r="C369" s="3"/>
      <c r="D369" s="2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26"/>
      <c r="C370" s="3"/>
      <c r="D370" s="2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26"/>
      <c r="C371" s="3"/>
      <c r="D371" s="2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26"/>
      <c r="C372" s="3"/>
      <c r="D372" s="2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26"/>
      <c r="C373" s="3"/>
      <c r="D373" s="2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26"/>
      <c r="C374" s="3"/>
      <c r="D374" s="2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26"/>
      <c r="C375" s="3"/>
      <c r="D375" s="2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26"/>
      <c r="C376" s="3"/>
      <c r="D376" s="2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26"/>
      <c r="C377" s="3"/>
      <c r="D377" s="2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26"/>
      <c r="C378" s="3"/>
      <c r="D378" s="2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26"/>
      <c r="C379" s="3"/>
      <c r="D379" s="2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26"/>
      <c r="C380" s="3"/>
      <c r="D380" s="2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26"/>
      <c r="C381" s="3"/>
      <c r="D381" s="2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26"/>
      <c r="C382" s="3"/>
      <c r="D382" s="2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26"/>
      <c r="C383" s="3"/>
      <c r="D383" s="2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26"/>
      <c r="C384" s="3"/>
      <c r="D384" s="2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26"/>
      <c r="C385" s="3"/>
      <c r="D385" s="2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26"/>
      <c r="C386" s="3"/>
      <c r="D386" s="2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26"/>
      <c r="C387" s="3"/>
      <c r="D387" s="2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26"/>
      <c r="C388" s="3"/>
      <c r="D388" s="2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26"/>
      <c r="C389" s="3"/>
      <c r="D389" s="2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26"/>
      <c r="C390" s="3"/>
      <c r="D390" s="2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26"/>
      <c r="C391" s="3"/>
      <c r="D391" s="2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26"/>
      <c r="C392" s="3"/>
      <c r="D392" s="2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26"/>
      <c r="C393" s="3"/>
      <c r="D393" s="2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26"/>
      <c r="C394" s="3"/>
      <c r="D394" s="2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26"/>
      <c r="C395" s="3"/>
      <c r="D395" s="2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26"/>
      <c r="C396" s="3"/>
      <c r="D396" s="2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26"/>
      <c r="C397" s="3"/>
      <c r="D397" s="2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26"/>
      <c r="C398" s="3"/>
      <c r="D398" s="2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26"/>
      <c r="C399" s="3"/>
      <c r="D399" s="2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26"/>
      <c r="C400" s="3"/>
      <c r="D400" s="2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26"/>
      <c r="C401" s="3"/>
      <c r="D401" s="2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26"/>
      <c r="C402" s="3"/>
      <c r="D402" s="2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26"/>
      <c r="C403" s="3"/>
      <c r="D403" s="2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26"/>
      <c r="C404" s="3"/>
      <c r="D404" s="2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26"/>
      <c r="C405" s="3"/>
      <c r="D405" s="2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26"/>
      <c r="C406" s="3"/>
      <c r="D406" s="2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26"/>
      <c r="C407" s="3"/>
      <c r="D407" s="2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26"/>
      <c r="C408" s="3"/>
      <c r="D408" s="2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26"/>
      <c r="C409" s="3"/>
      <c r="D409" s="2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26"/>
      <c r="C410" s="3"/>
      <c r="D410" s="2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26"/>
      <c r="C411" s="3"/>
      <c r="D411" s="2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26"/>
      <c r="C412" s="3"/>
      <c r="D412" s="2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26"/>
      <c r="C413" s="3"/>
      <c r="D413" s="2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26"/>
      <c r="C414" s="3"/>
      <c r="D414" s="2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26"/>
      <c r="C415" s="3"/>
      <c r="D415" s="2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26"/>
      <c r="C416" s="3"/>
      <c r="D416" s="2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26"/>
      <c r="C417" s="3"/>
      <c r="D417" s="2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26"/>
      <c r="C418" s="3"/>
      <c r="D418" s="2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26"/>
      <c r="C419" s="3"/>
      <c r="D419" s="2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26"/>
      <c r="C420" s="3"/>
      <c r="D420" s="2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26"/>
      <c r="C421" s="3"/>
      <c r="D421" s="2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26"/>
      <c r="C422" s="3"/>
      <c r="D422" s="2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26"/>
      <c r="C423" s="3"/>
      <c r="D423" s="2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26"/>
      <c r="C424" s="3"/>
      <c r="D424" s="2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26"/>
      <c r="C425" s="3"/>
      <c r="D425" s="2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26"/>
      <c r="C426" s="3"/>
      <c r="D426" s="2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26"/>
      <c r="C427" s="3"/>
      <c r="D427" s="2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26"/>
      <c r="C428" s="3"/>
      <c r="D428" s="2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26"/>
      <c r="C429" s="3"/>
      <c r="D429" s="2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26"/>
      <c r="C430" s="3"/>
      <c r="D430" s="2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26"/>
      <c r="C431" s="3"/>
      <c r="D431" s="2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26"/>
      <c r="C432" s="3"/>
      <c r="D432" s="2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26"/>
      <c r="C433" s="3"/>
      <c r="D433" s="2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26"/>
      <c r="C434" s="3"/>
      <c r="D434" s="2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26"/>
      <c r="C435" s="3"/>
      <c r="D435" s="2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26"/>
      <c r="C436" s="3"/>
      <c r="D436" s="2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26"/>
      <c r="C437" s="3"/>
      <c r="D437" s="2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26"/>
      <c r="C438" s="3"/>
      <c r="D438" s="2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26"/>
      <c r="C439" s="3"/>
      <c r="D439" s="2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26"/>
      <c r="C440" s="3"/>
      <c r="D440" s="2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26"/>
      <c r="C441" s="3"/>
      <c r="D441" s="2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26"/>
      <c r="C442" s="3"/>
      <c r="D442" s="2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26"/>
      <c r="C443" s="3"/>
      <c r="D443" s="2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26"/>
      <c r="C444" s="3"/>
      <c r="D444" s="2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26"/>
      <c r="C445" s="3"/>
      <c r="D445" s="2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26"/>
      <c r="C446" s="3"/>
      <c r="D446" s="2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26"/>
      <c r="C447" s="3"/>
      <c r="D447" s="2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26"/>
      <c r="C448" s="3"/>
      <c r="D448" s="2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26"/>
      <c r="C449" s="3"/>
      <c r="D449" s="2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26"/>
      <c r="C450" s="3"/>
      <c r="D450" s="2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26"/>
      <c r="C451" s="3"/>
      <c r="D451" s="2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26"/>
      <c r="C452" s="3"/>
      <c r="D452" s="2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26"/>
      <c r="C453" s="3"/>
      <c r="D453" s="2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26"/>
      <c r="C454" s="3"/>
      <c r="D454" s="2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26"/>
      <c r="C455" s="3"/>
      <c r="D455" s="2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26"/>
      <c r="C456" s="3"/>
      <c r="D456" s="2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26"/>
      <c r="C457" s="3"/>
      <c r="D457" s="2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26"/>
      <c r="C458" s="3"/>
      <c r="D458" s="2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26"/>
      <c r="C459" s="3"/>
      <c r="D459" s="2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26"/>
      <c r="C460" s="3"/>
      <c r="D460" s="2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26"/>
      <c r="C461" s="3"/>
      <c r="D461" s="2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26"/>
      <c r="C462" s="3"/>
      <c r="D462" s="2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26"/>
      <c r="C463" s="3"/>
      <c r="D463" s="2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26"/>
      <c r="C464" s="3"/>
      <c r="D464" s="2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26"/>
      <c r="C465" s="3"/>
      <c r="D465" s="2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26"/>
      <c r="C466" s="3"/>
      <c r="D466" s="2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26"/>
      <c r="C467" s="3"/>
      <c r="D467" s="2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26"/>
      <c r="C468" s="3"/>
      <c r="D468" s="2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26"/>
      <c r="C469" s="3"/>
      <c r="D469" s="2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26"/>
      <c r="C470" s="3"/>
      <c r="D470" s="2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26"/>
      <c r="C471" s="3"/>
      <c r="D471" s="2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26"/>
      <c r="C472" s="3"/>
      <c r="D472" s="2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26"/>
      <c r="C473" s="3"/>
      <c r="D473" s="2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26"/>
      <c r="C474" s="3"/>
      <c r="D474" s="2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26"/>
      <c r="C475" s="3"/>
      <c r="D475" s="2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26"/>
      <c r="C476" s="3"/>
      <c r="D476" s="2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26"/>
      <c r="C477" s="3"/>
      <c r="D477" s="2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26"/>
      <c r="C478" s="3"/>
      <c r="D478" s="2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26"/>
      <c r="C479" s="3"/>
      <c r="D479" s="2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26"/>
      <c r="C480" s="3"/>
      <c r="D480" s="2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26"/>
      <c r="C481" s="3"/>
      <c r="D481" s="2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26"/>
      <c r="C482" s="3"/>
      <c r="D482" s="2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26"/>
      <c r="C483" s="3"/>
      <c r="D483" s="2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26"/>
      <c r="C484" s="3"/>
      <c r="D484" s="2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26"/>
      <c r="C485" s="3"/>
      <c r="D485" s="2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26"/>
      <c r="C486" s="3"/>
      <c r="D486" s="2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26"/>
      <c r="C487" s="3"/>
      <c r="D487" s="2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26"/>
      <c r="C488" s="3"/>
      <c r="D488" s="2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26"/>
      <c r="C489" s="3"/>
      <c r="D489" s="2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26"/>
      <c r="C490" s="3"/>
      <c r="D490" s="2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26"/>
      <c r="C491" s="3"/>
      <c r="D491" s="2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26"/>
      <c r="C492" s="3"/>
      <c r="D492" s="2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26"/>
      <c r="C493" s="3"/>
      <c r="D493" s="2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26"/>
      <c r="C494" s="3"/>
      <c r="D494" s="2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26"/>
      <c r="C495" s="3"/>
      <c r="D495" s="2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26"/>
      <c r="C496" s="3"/>
      <c r="D496" s="2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26"/>
      <c r="C497" s="3"/>
      <c r="D497" s="2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26"/>
      <c r="C498" s="3"/>
      <c r="D498" s="2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26"/>
      <c r="C499" s="3"/>
      <c r="D499" s="2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26"/>
      <c r="C500" s="3"/>
      <c r="D500" s="2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26"/>
      <c r="C501" s="3"/>
      <c r="D501" s="2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26"/>
      <c r="C502" s="3"/>
      <c r="D502" s="2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26"/>
      <c r="C503" s="3"/>
      <c r="D503" s="2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26"/>
      <c r="C504" s="3"/>
      <c r="D504" s="2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26"/>
      <c r="C505" s="3"/>
      <c r="D505" s="2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26"/>
      <c r="C506" s="3"/>
      <c r="D506" s="2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26"/>
      <c r="C507" s="3"/>
      <c r="D507" s="2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26"/>
      <c r="C508" s="3"/>
      <c r="D508" s="2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26"/>
      <c r="C509" s="3"/>
      <c r="D509" s="2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26"/>
      <c r="C510" s="3"/>
      <c r="D510" s="2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26"/>
      <c r="C511" s="3"/>
      <c r="D511" s="2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26"/>
      <c r="C512" s="3"/>
      <c r="D512" s="2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26"/>
      <c r="C513" s="3"/>
      <c r="D513" s="2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26"/>
      <c r="C514" s="3"/>
      <c r="D514" s="2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26"/>
      <c r="C515" s="3"/>
      <c r="D515" s="2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26"/>
      <c r="C516" s="3"/>
      <c r="D516" s="2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26"/>
      <c r="C517" s="3"/>
      <c r="D517" s="2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26"/>
      <c r="C518" s="3"/>
      <c r="D518" s="2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26"/>
      <c r="C519" s="3"/>
      <c r="D519" s="2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26"/>
      <c r="C520" s="3"/>
      <c r="D520" s="2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26"/>
      <c r="C521" s="3"/>
      <c r="D521" s="2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26"/>
      <c r="C522" s="3"/>
      <c r="D522" s="2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26"/>
      <c r="C523" s="3"/>
      <c r="D523" s="2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26"/>
      <c r="C524" s="3"/>
      <c r="D524" s="2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26"/>
      <c r="C525" s="3"/>
      <c r="D525" s="2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26"/>
      <c r="C526" s="3"/>
      <c r="D526" s="2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26"/>
      <c r="C527" s="3"/>
      <c r="D527" s="2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26"/>
      <c r="C528" s="3"/>
      <c r="D528" s="2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26"/>
      <c r="C529" s="3"/>
      <c r="D529" s="2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26"/>
      <c r="C530" s="3"/>
      <c r="D530" s="2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26"/>
      <c r="C531" s="3"/>
      <c r="D531" s="2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26"/>
      <c r="C532" s="3"/>
      <c r="D532" s="2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26"/>
      <c r="C533" s="3"/>
      <c r="D533" s="2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26"/>
      <c r="C534" s="3"/>
      <c r="D534" s="2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26"/>
      <c r="C535" s="3"/>
      <c r="D535" s="2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26"/>
      <c r="C536" s="3"/>
      <c r="D536" s="2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26"/>
      <c r="C537" s="3"/>
      <c r="D537" s="2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26"/>
      <c r="C538" s="3"/>
      <c r="D538" s="2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26"/>
      <c r="C539" s="3"/>
      <c r="D539" s="2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26"/>
      <c r="C540" s="3"/>
      <c r="D540" s="2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26"/>
      <c r="C541" s="3"/>
      <c r="D541" s="2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26"/>
      <c r="C542" s="3"/>
      <c r="D542" s="2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26"/>
      <c r="C543" s="3"/>
      <c r="D543" s="2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26"/>
      <c r="C544" s="3"/>
      <c r="D544" s="2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26"/>
      <c r="C545" s="3"/>
      <c r="D545" s="2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26"/>
      <c r="C546" s="3"/>
      <c r="D546" s="2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26"/>
      <c r="C547" s="3"/>
      <c r="D547" s="2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26"/>
      <c r="C548" s="3"/>
      <c r="D548" s="2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26"/>
      <c r="C549" s="3"/>
      <c r="D549" s="2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26"/>
      <c r="C550" s="3"/>
      <c r="D550" s="2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26"/>
      <c r="C551" s="3"/>
      <c r="D551" s="2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26"/>
      <c r="C552" s="3"/>
      <c r="D552" s="2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26"/>
      <c r="C553" s="3"/>
      <c r="D553" s="2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26"/>
      <c r="C554" s="3"/>
      <c r="D554" s="2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26"/>
      <c r="C555" s="3"/>
      <c r="D555" s="2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26"/>
      <c r="C556" s="3"/>
      <c r="D556" s="2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26"/>
      <c r="C557" s="3"/>
      <c r="D557" s="2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26"/>
      <c r="C558" s="3"/>
      <c r="D558" s="2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26"/>
      <c r="C559" s="3"/>
      <c r="D559" s="2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26"/>
      <c r="C560" s="3"/>
      <c r="D560" s="2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26"/>
      <c r="C561" s="3"/>
      <c r="D561" s="2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26"/>
      <c r="C562" s="3"/>
      <c r="D562" s="2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26"/>
      <c r="C563" s="3"/>
      <c r="D563" s="2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26"/>
      <c r="C564" s="3"/>
      <c r="D564" s="2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26"/>
      <c r="C565" s="3"/>
      <c r="D565" s="2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26"/>
      <c r="C566" s="3"/>
      <c r="D566" s="2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26"/>
      <c r="C567" s="3"/>
      <c r="D567" s="2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26"/>
      <c r="C568" s="3"/>
      <c r="D568" s="2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26"/>
      <c r="C569" s="3"/>
      <c r="D569" s="2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26"/>
      <c r="C570" s="3"/>
      <c r="D570" s="2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26"/>
      <c r="C571" s="3"/>
      <c r="D571" s="2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26"/>
      <c r="C572" s="3"/>
      <c r="D572" s="2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26"/>
      <c r="C573" s="3"/>
      <c r="D573" s="2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26"/>
      <c r="C574" s="3"/>
      <c r="D574" s="2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26"/>
      <c r="C575" s="3"/>
      <c r="D575" s="2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26"/>
      <c r="C576" s="3"/>
      <c r="D576" s="2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26"/>
      <c r="C577" s="3"/>
      <c r="D577" s="2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26"/>
      <c r="C578" s="3"/>
      <c r="D578" s="2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26"/>
      <c r="C579" s="3"/>
      <c r="D579" s="2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26"/>
      <c r="C580" s="3"/>
      <c r="D580" s="2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26"/>
      <c r="C581" s="3"/>
      <c r="D581" s="2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26"/>
      <c r="C582" s="3"/>
      <c r="D582" s="2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26"/>
      <c r="C583" s="3"/>
      <c r="D583" s="2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26"/>
      <c r="C584" s="3"/>
      <c r="D584" s="2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26"/>
      <c r="C585" s="3"/>
      <c r="D585" s="2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26"/>
      <c r="C586" s="3"/>
      <c r="D586" s="2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26"/>
      <c r="C587" s="3"/>
      <c r="D587" s="2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26"/>
      <c r="C588" s="3"/>
      <c r="D588" s="2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26"/>
      <c r="C589" s="3"/>
      <c r="D589" s="2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26"/>
      <c r="C590" s="3"/>
      <c r="D590" s="2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26"/>
      <c r="C591" s="3"/>
      <c r="D591" s="2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26"/>
      <c r="C592" s="3"/>
      <c r="D592" s="2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26"/>
      <c r="C593" s="3"/>
      <c r="D593" s="2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26"/>
      <c r="C594" s="3"/>
      <c r="D594" s="2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26"/>
      <c r="C595" s="3"/>
      <c r="D595" s="2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26"/>
      <c r="C596" s="3"/>
      <c r="D596" s="2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26"/>
      <c r="C597" s="3"/>
      <c r="D597" s="2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26"/>
      <c r="C598" s="3"/>
      <c r="D598" s="2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26"/>
      <c r="C599" s="3"/>
      <c r="D599" s="2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26"/>
      <c r="C600" s="3"/>
      <c r="D600" s="2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26"/>
      <c r="C601" s="3"/>
      <c r="D601" s="2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26"/>
      <c r="C602" s="3"/>
      <c r="D602" s="2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26"/>
      <c r="C603" s="3"/>
      <c r="D603" s="2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26"/>
      <c r="C604" s="3"/>
      <c r="D604" s="2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26"/>
      <c r="C605" s="3"/>
      <c r="D605" s="2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26"/>
      <c r="C606" s="3"/>
      <c r="D606" s="2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26"/>
      <c r="C607" s="3"/>
      <c r="D607" s="2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26"/>
      <c r="C608" s="3"/>
      <c r="D608" s="2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26"/>
      <c r="C609" s="3"/>
      <c r="D609" s="2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26"/>
      <c r="C610" s="3"/>
      <c r="D610" s="2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26"/>
      <c r="C611" s="3"/>
      <c r="D611" s="2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26"/>
      <c r="C612" s="3"/>
      <c r="D612" s="2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26"/>
      <c r="C613" s="3"/>
      <c r="D613" s="2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26"/>
      <c r="C614" s="3"/>
      <c r="D614" s="2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26"/>
      <c r="C615" s="3"/>
      <c r="D615" s="2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26"/>
      <c r="C616" s="3"/>
      <c r="D616" s="2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26"/>
      <c r="C617" s="3"/>
      <c r="D617" s="2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26"/>
      <c r="C618" s="3"/>
      <c r="D618" s="2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26"/>
      <c r="C619" s="3"/>
      <c r="D619" s="2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26"/>
      <c r="C620" s="3"/>
      <c r="D620" s="2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26"/>
      <c r="C621" s="3"/>
      <c r="D621" s="2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26"/>
      <c r="C622" s="3"/>
      <c r="D622" s="2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26"/>
      <c r="C623" s="3"/>
      <c r="D623" s="2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26"/>
      <c r="C624" s="3"/>
      <c r="D624" s="2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26"/>
      <c r="C625" s="3"/>
      <c r="D625" s="2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26"/>
      <c r="C626" s="3"/>
      <c r="D626" s="2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26"/>
      <c r="C627" s="3"/>
      <c r="D627" s="2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26"/>
      <c r="C628" s="3"/>
      <c r="D628" s="2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26"/>
      <c r="C629" s="3"/>
      <c r="D629" s="2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26"/>
      <c r="C630" s="3"/>
      <c r="D630" s="2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26"/>
      <c r="C631" s="3"/>
      <c r="D631" s="2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26"/>
      <c r="C632" s="3"/>
      <c r="D632" s="2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26"/>
      <c r="C633" s="3"/>
      <c r="D633" s="2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26"/>
      <c r="C634" s="3"/>
      <c r="D634" s="2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26"/>
      <c r="C635" s="3"/>
      <c r="D635" s="2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26"/>
      <c r="C636" s="3"/>
      <c r="D636" s="2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26"/>
      <c r="C637" s="3"/>
      <c r="D637" s="2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26"/>
      <c r="C638" s="3"/>
      <c r="D638" s="2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26"/>
      <c r="C639" s="3"/>
      <c r="D639" s="2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26"/>
      <c r="C640" s="3"/>
      <c r="D640" s="2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26"/>
      <c r="C641" s="3"/>
      <c r="D641" s="2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26"/>
      <c r="C642" s="3"/>
      <c r="D642" s="2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26"/>
      <c r="C643" s="3"/>
      <c r="D643" s="2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26"/>
      <c r="C644" s="3"/>
      <c r="D644" s="2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26"/>
      <c r="C645" s="3"/>
      <c r="D645" s="2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26"/>
      <c r="C646" s="3"/>
      <c r="D646" s="2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26"/>
      <c r="C647" s="3"/>
      <c r="D647" s="2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26"/>
      <c r="C648" s="3"/>
      <c r="D648" s="2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26"/>
      <c r="C649" s="3"/>
      <c r="D649" s="2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26"/>
      <c r="C650" s="3"/>
      <c r="D650" s="2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26"/>
      <c r="C651" s="3"/>
      <c r="D651" s="2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26"/>
      <c r="C652" s="3"/>
      <c r="D652" s="2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26"/>
      <c r="C653" s="3"/>
      <c r="D653" s="2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26"/>
      <c r="C654" s="3"/>
      <c r="D654" s="2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26"/>
      <c r="C655" s="3"/>
      <c r="D655" s="2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26"/>
      <c r="C656" s="3"/>
      <c r="D656" s="2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26"/>
      <c r="C657" s="3"/>
      <c r="D657" s="2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26"/>
      <c r="C658" s="3"/>
      <c r="D658" s="2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26"/>
      <c r="C659" s="3"/>
      <c r="D659" s="2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26"/>
      <c r="C660" s="3"/>
      <c r="D660" s="2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26"/>
      <c r="C661" s="3"/>
      <c r="D661" s="2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26"/>
      <c r="C662" s="3"/>
      <c r="D662" s="2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26"/>
      <c r="C663" s="3"/>
      <c r="D663" s="2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26"/>
      <c r="C664" s="3"/>
      <c r="D664" s="2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26"/>
      <c r="C665" s="3"/>
      <c r="D665" s="2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26"/>
      <c r="C666" s="3"/>
      <c r="D666" s="2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26"/>
      <c r="C667" s="3"/>
      <c r="D667" s="2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26"/>
      <c r="C668" s="3"/>
      <c r="D668" s="2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26"/>
      <c r="C669" s="3"/>
      <c r="D669" s="2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26"/>
      <c r="C670" s="3"/>
      <c r="D670" s="2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26"/>
      <c r="C671" s="3"/>
      <c r="D671" s="2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26"/>
      <c r="C672" s="3"/>
      <c r="D672" s="2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26"/>
      <c r="C673" s="3"/>
      <c r="D673" s="2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26"/>
      <c r="C674" s="3"/>
      <c r="D674" s="2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26"/>
      <c r="C675" s="3"/>
      <c r="D675" s="2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26"/>
      <c r="C676" s="3"/>
      <c r="D676" s="2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26"/>
      <c r="C677" s="3"/>
      <c r="D677" s="2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26"/>
      <c r="C678" s="3"/>
      <c r="D678" s="2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26"/>
      <c r="C679" s="3"/>
      <c r="D679" s="2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26"/>
      <c r="C680" s="3"/>
      <c r="D680" s="2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26"/>
      <c r="C681" s="3"/>
      <c r="D681" s="2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26"/>
      <c r="C682" s="3"/>
      <c r="D682" s="2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26"/>
      <c r="C683" s="3"/>
      <c r="D683" s="2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26"/>
      <c r="C684" s="3"/>
      <c r="D684" s="2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26"/>
      <c r="C685" s="3"/>
      <c r="D685" s="2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26"/>
      <c r="C686" s="3"/>
      <c r="D686" s="2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26"/>
      <c r="C687" s="3"/>
      <c r="D687" s="2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26"/>
      <c r="C688" s="3"/>
      <c r="D688" s="2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26"/>
      <c r="C689" s="3"/>
      <c r="D689" s="2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26"/>
      <c r="C690" s="3"/>
      <c r="D690" s="2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26"/>
      <c r="C691" s="3"/>
      <c r="D691" s="2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26"/>
      <c r="C692" s="3"/>
      <c r="D692" s="2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26"/>
      <c r="C693" s="3"/>
      <c r="D693" s="2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26"/>
      <c r="C694" s="3"/>
      <c r="D694" s="2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26"/>
      <c r="C695" s="3"/>
      <c r="D695" s="2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26"/>
      <c r="C696" s="3"/>
      <c r="D696" s="2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26"/>
      <c r="C697" s="3"/>
      <c r="D697" s="2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26"/>
      <c r="C698" s="3"/>
      <c r="D698" s="2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26"/>
      <c r="C699" s="3"/>
      <c r="D699" s="2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26"/>
      <c r="C700" s="3"/>
      <c r="D700" s="2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26"/>
      <c r="C701" s="3"/>
      <c r="D701" s="2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26"/>
      <c r="C702" s="3"/>
      <c r="D702" s="2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26"/>
      <c r="C703" s="3"/>
      <c r="D703" s="2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26"/>
      <c r="C704" s="3"/>
      <c r="D704" s="2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26"/>
      <c r="C705" s="3"/>
      <c r="D705" s="2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26"/>
      <c r="C706" s="3"/>
      <c r="D706" s="2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26"/>
      <c r="C707" s="3"/>
      <c r="D707" s="2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26"/>
      <c r="C708" s="3"/>
      <c r="D708" s="2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26"/>
      <c r="C709" s="3"/>
      <c r="D709" s="2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26"/>
      <c r="C710" s="3"/>
      <c r="D710" s="2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26"/>
      <c r="C711" s="3"/>
      <c r="D711" s="2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26"/>
      <c r="C712" s="3"/>
      <c r="D712" s="2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26"/>
      <c r="C713" s="3"/>
      <c r="D713" s="2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26"/>
      <c r="C714" s="3"/>
      <c r="D714" s="2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26"/>
      <c r="C715" s="3"/>
      <c r="D715" s="2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26"/>
      <c r="C716" s="3"/>
      <c r="D716" s="2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26"/>
      <c r="C717" s="3"/>
      <c r="D717" s="2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26"/>
      <c r="C718" s="3"/>
      <c r="D718" s="2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26"/>
      <c r="C719" s="3"/>
      <c r="D719" s="2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26"/>
      <c r="C720" s="3"/>
      <c r="D720" s="2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26"/>
      <c r="C721" s="3"/>
      <c r="D721" s="2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26"/>
      <c r="C722" s="3"/>
      <c r="D722" s="2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26"/>
      <c r="C723" s="3"/>
      <c r="D723" s="2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26"/>
      <c r="C724" s="3"/>
      <c r="D724" s="2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26"/>
      <c r="C725" s="3"/>
      <c r="D725" s="2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26"/>
      <c r="C726" s="3"/>
      <c r="D726" s="2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26"/>
      <c r="C727" s="3"/>
      <c r="D727" s="2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26"/>
      <c r="C728" s="3"/>
      <c r="D728" s="2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26"/>
      <c r="C729" s="3"/>
      <c r="D729" s="2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26"/>
      <c r="C730" s="3"/>
      <c r="D730" s="2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26"/>
      <c r="C731" s="3"/>
      <c r="D731" s="2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26"/>
      <c r="C732" s="3"/>
      <c r="D732" s="2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26"/>
      <c r="C733" s="3"/>
      <c r="D733" s="2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26"/>
      <c r="C734" s="3"/>
      <c r="D734" s="2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26"/>
      <c r="C735" s="3"/>
      <c r="D735" s="2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26"/>
      <c r="C736" s="3"/>
      <c r="D736" s="2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26"/>
      <c r="C737" s="3"/>
      <c r="D737" s="2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26"/>
      <c r="C738" s="3"/>
      <c r="D738" s="2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26"/>
      <c r="C739" s="3"/>
      <c r="D739" s="2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26"/>
      <c r="C740" s="3"/>
      <c r="D740" s="2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26"/>
      <c r="C741" s="3"/>
      <c r="D741" s="2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26"/>
      <c r="C742" s="3"/>
      <c r="D742" s="2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26"/>
      <c r="C743" s="3"/>
      <c r="D743" s="2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26"/>
      <c r="C744" s="3"/>
      <c r="D744" s="2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26"/>
      <c r="C745" s="3"/>
      <c r="D745" s="2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26"/>
      <c r="C746" s="3"/>
      <c r="D746" s="2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26"/>
      <c r="C747" s="3"/>
      <c r="D747" s="2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26"/>
      <c r="C748" s="3"/>
      <c r="D748" s="2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26"/>
      <c r="C749" s="3"/>
      <c r="D749" s="2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26"/>
      <c r="C750" s="3"/>
      <c r="D750" s="2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26"/>
      <c r="C751" s="3"/>
      <c r="D751" s="2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26"/>
      <c r="C752" s="3"/>
      <c r="D752" s="2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26"/>
      <c r="C753" s="3"/>
      <c r="D753" s="2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26"/>
      <c r="C754" s="3"/>
      <c r="D754" s="2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26"/>
      <c r="C755" s="3"/>
      <c r="D755" s="2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26"/>
      <c r="C756" s="3"/>
      <c r="D756" s="2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26"/>
      <c r="C757" s="3"/>
      <c r="D757" s="2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26"/>
      <c r="C758" s="3"/>
      <c r="D758" s="2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26"/>
      <c r="C759" s="3"/>
      <c r="D759" s="2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26"/>
      <c r="C760" s="3"/>
      <c r="D760" s="2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26"/>
      <c r="C761" s="3"/>
      <c r="D761" s="2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26"/>
      <c r="C762" s="3"/>
      <c r="D762" s="2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26"/>
      <c r="C763" s="3"/>
      <c r="D763" s="2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26"/>
      <c r="C764" s="3"/>
      <c r="D764" s="2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26"/>
      <c r="C765" s="3"/>
      <c r="D765" s="2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26"/>
      <c r="C766" s="3"/>
      <c r="D766" s="2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26"/>
      <c r="C767" s="3"/>
      <c r="D767" s="2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26"/>
      <c r="C768" s="3"/>
      <c r="D768" s="2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26"/>
      <c r="C769" s="3"/>
      <c r="D769" s="2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26"/>
      <c r="C770" s="3"/>
      <c r="D770" s="2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26"/>
      <c r="C771" s="3"/>
      <c r="D771" s="2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26"/>
      <c r="C772" s="3"/>
      <c r="D772" s="2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26"/>
      <c r="C773" s="3"/>
      <c r="D773" s="2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26"/>
      <c r="C774" s="3"/>
      <c r="D774" s="2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26"/>
      <c r="C775" s="3"/>
      <c r="D775" s="2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26"/>
      <c r="C776" s="3"/>
      <c r="D776" s="2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26"/>
      <c r="C777" s="3"/>
      <c r="D777" s="2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26"/>
      <c r="C778" s="3"/>
      <c r="D778" s="2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26"/>
      <c r="C779" s="3"/>
      <c r="D779" s="2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26"/>
      <c r="C780" s="3"/>
      <c r="D780" s="2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26"/>
      <c r="C781" s="3"/>
      <c r="D781" s="2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26"/>
      <c r="C782" s="3"/>
      <c r="D782" s="2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26"/>
      <c r="C783" s="3"/>
      <c r="D783" s="2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26"/>
      <c r="C784" s="3"/>
      <c r="D784" s="2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26"/>
      <c r="C785" s="3"/>
      <c r="D785" s="2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26"/>
      <c r="C786" s="3"/>
      <c r="D786" s="2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26"/>
      <c r="C787" s="3"/>
      <c r="D787" s="2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26"/>
      <c r="C788" s="3"/>
      <c r="D788" s="2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26"/>
      <c r="C789" s="3"/>
      <c r="D789" s="2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26"/>
      <c r="C790" s="3"/>
      <c r="D790" s="2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26"/>
      <c r="C791" s="3"/>
      <c r="D791" s="2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26"/>
      <c r="C792" s="3"/>
      <c r="D792" s="2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26"/>
      <c r="C793" s="3"/>
      <c r="D793" s="2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26"/>
      <c r="C794" s="3"/>
      <c r="D794" s="2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26"/>
      <c r="C795" s="3"/>
      <c r="D795" s="2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26"/>
      <c r="C796" s="3"/>
      <c r="D796" s="2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26"/>
      <c r="C797" s="3"/>
      <c r="D797" s="2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26"/>
      <c r="C798" s="3"/>
      <c r="D798" s="2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26"/>
      <c r="C799" s="3"/>
      <c r="D799" s="2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26"/>
      <c r="C800" s="3"/>
      <c r="D800" s="2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26"/>
      <c r="C801" s="3"/>
      <c r="D801" s="2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26"/>
      <c r="C802" s="3"/>
      <c r="D802" s="2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26"/>
      <c r="C803" s="3"/>
      <c r="D803" s="2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26"/>
      <c r="C804" s="3"/>
      <c r="D804" s="2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26"/>
      <c r="C805" s="3"/>
      <c r="D805" s="2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26"/>
      <c r="C806" s="3"/>
      <c r="D806" s="2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26"/>
      <c r="C807" s="3"/>
      <c r="D807" s="2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26"/>
      <c r="C808" s="3"/>
      <c r="D808" s="2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26"/>
      <c r="C809" s="3"/>
      <c r="D809" s="2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26"/>
      <c r="C810" s="3"/>
      <c r="D810" s="2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26"/>
      <c r="C811" s="3"/>
      <c r="D811" s="2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26"/>
      <c r="C812" s="3"/>
      <c r="D812" s="2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26"/>
      <c r="C813" s="3"/>
      <c r="D813" s="2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26"/>
      <c r="C814" s="3"/>
      <c r="D814" s="2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26"/>
      <c r="C815" s="3"/>
      <c r="D815" s="2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26"/>
      <c r="C816" s="3"/>
      <c r="D816" s="2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26"/>
      <c r="C817" s="3"/>
      <c r="D817" s="2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26"/>
      <c r="C818" s="3"/>
      <c r="D818" s="2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26"/>
      <c r="C819" s="3"/>
      <c r="D819" s="2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26"/>
      <c r="C820" s="3"/>
      <c r="D820" s="2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26"/>
      <c r="C821" s="3"/>
      <c r="D821" s="2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26"/>
      <c r="C822" s="3"/>
      <c r="D822" s="2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26"/>
      <c r="C823" s="3"/>
      <c r="D823" s="2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26"/>
      <c r="C824" s="3"/>
      <c r="D824" s="2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26"/>
      <c r="C825" s="3"/>
      <c r="D825" s="2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26"/>
      <c r="C826" s="3"/>
      <c r="D826" s="2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26"/>
      <c r="C827" s="3"/>
      <c r="D827" s="2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26"/>
      <c r="C828" s="3"/>
      <c r="D828" s="2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26"/>
      <c r="C829" s="3"/>
      <c r="D829" s="2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26"/>
      <c r="C830" s="3"/>
      <c r="D830" s="2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26"/>
      <c r="C831" s="3"/>
      <c r="D831" s="2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26"/>
      <c r="C832" s="3"/>
      <c r="D832" s="2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26"/>
      <c r="C833" s="3"/>
      <c r="D833" s="2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26"/>
      <c r="C834" s="3"/>
      <c r="D834" s="2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26"/>
      <c r="C835" s="3"/>
      <c r="D835" s="2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26"/>
      <c r="C836" s="3"/>
      <c r="D836" s="2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26"/>
      <c r="C837" s="3"/>
      <c r="D837" s="2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26"/>
      <c r="C838" s="3"/>
      <c r="D838" s="2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26"/>
      <c r="C839" s="3"/>
      <c r="D839" s="2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26"/>
      <c r="C840" s="3"/>
      <c r="D840" s="2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26"/>
      <c r="C841" s="3"/>
      <c r="D841" s="2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26"/>
      <c r="C842" s="3"/>
      <c r="D842" s="2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26"/>
      <c r="C843" s="3"/>
      <c r="D843" s="2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26"/>
      <c r="C844" s="3"/>
      <c r="D844" s="2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26"/>
      <c r="C845" s="3"/>
      <c r="D845" s="2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26"/>
      <c r="C846" s="3"/>
      <c r="D846" s="2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26"/>
      <c r="C847" s="3"/>
      <c r="D847" s="2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26"/>
      <c r="C848" s="3"/>
      <c r="D848" s="2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26"/>
      <c r="C849" s="3"/>
      <c r="D849" s="2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26"/>
      <c r="C850" s="3"/>
      <c r="D850" s="2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26"/>
      <c r="C851" s="3"/>
      <c r="D851" s="2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26"/>
      <c r="C852" s="3"/>
      <c r="D852" s="2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26"/>
      <c r="C853" s="3"/>
      <c r="D853" s="2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26"/>
      <c r="C854" s="3"/>
      <c r="D854" s="2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26"/>
      <c r="C855" s="3"/>
      <c r="D855" s="2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26"/>
      <c r="C856" s="3"/>
      <c r="D856" s="2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26"/>
      <c r="C857" s="3"/>
      <c r="D857" s="2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26"/>
      <c r="C858" s="3"/>
      <c r="D858" s="2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26"/>
      <c r="C859" s="3"/>
      <c r="D859" s="2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26"/>
      <c r="C860" s="3"/>
      <c r="D860" s="2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26"/>
      <c r="C861" s="3"/>
      <c r="D861" s="2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26"/>
      <c r="C862" s="3"/>
      <c r="D862" s="2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26"/>
      <c r="C863" s="3"/>
      <c r="D863" s="2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26"/>
      <c r="C864" s="3"/>
      <c r="D864" s="2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26"/>
      <c r="C865" s="3"/>
      <c r="D865" s="2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26"/>
      <c r="C866" s="3"/>
      <c r="D866" s="2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26"/>
      <c r="C867" s="3"/>
      <c r="D867" s="2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26"/>
      <c r="C868" s="3"/>
      <c r="D868" s="2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26"/>
      <c r="C869" s="3"/>
      <c r="D869" s="2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26"/>
      <c r="C870" s="3"/>
      <c r="D870" s="2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26"/>
      <c r="C871" s="3"/>
      <c r="D871" s="2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26"/>
      <c r="C872" s="3"/>
      <c r="D872" s="2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26"/>
      <c r="C873" s="3"/>
      <c r="D873" s="2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26"/>
      <c r="C874" s="3"/>
      <c r="D874" s="2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26"/>
      <c r="C875" s="3"/>
      <c r="D875" s="2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26"/>
      <c r="C876" s="3"/>
      <c r="D876" s="2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26"/>
      <c r="C877" s="3"/>
      <c r="D877" s="2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26"/>
      <c r="C878" s="3"/>
      <c r="D878" s="2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26"/>
      <c r="C879" s="3"/>
      <c r="D879" s="2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26"/>
      <c r="C880" s="3"/>
      <c r="D880" s="2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26"/>
      <c r="C881" s="3"/>
      <c r="D881" s="2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26"/>
      <c r="C882" s="3"/>
      <c r="D882" s="2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26"/>
      <c r="C883" s="3"/>
      <c r="D883" s="2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26"/>
      <c r="C884" s="3"/>
      <c r="D884" s="2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26"/>
      <c r="C885" s="3"/>
      <c r="D885" s="2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26"/>
      <c r="C886" s="3"/>
      <c r="D886" s="2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26"/>
      <c r="C887" s="3"/>
      <c r="D887" s="2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26"/>
      <c r="C888" s="3"/>
      <c r="D888" s="2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26"/>
      <c r="C889" s="3"/>
      <c r="D889" s="2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26"/>
      <c r="C890" s="3"/>
      <c r="D890" s="2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26"/>
      <c r="C891" s="3"/>
      <c r="D891" s="2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26"/>
      <c r="C892" s="3"/>
      <c r="D892" s="2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26"/>
      <c r="C893" s="3"/>
      <c r="D893" s="2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26"/>
      <c r="C894" s="3"/>
      <c r="D894" s="2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26"/>
      <c r="C895" s="3"/>
      <c r="D895" s="2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26"/>
      <c r="C896" s="3"/>
      <c r="D896" s="2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26"/>
      <c r="C897" s="3"/>
      <c r="D897" s="2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26"/>
      <c r="C898" s="3"/>
      <c r="D898" s="2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26"/>
      <c r="C899" s="3"/>
      <c r="D899" s="2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26"/>
      <c r="C900" s="3"/>
      <c r="D900" s="2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26"/>
      <c r="C901" s="3"/>
      <c r="D901" s="2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26"/>
      <c r="C902" s="3"/>
      <c r="D902" s="2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26"/>
      <c r="C903" s="3"/>
      <c r="D903" s="2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26"/>
      <c r="C904" s="3"/>
      <c r="D904" s="2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26"/>
      <c r="C905" s="3"/>
      <c r="D905" s="2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26"/>
      <c r="C906" s="3"/>
      <c r="D906" s="2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26"/>
      <c r="C907" s="3"/>
      <c r="D907" s="2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26"/>
      <c r="C908" s="3"/>
      <c r="D908" s="2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26"/>
      <c r="C909" s="3"/>
      <c r="D909" s="2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26"/>
      <c r="C910" s="3"/>
      <c r="D910" s="2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26"/>
      <c r="C911" s="3"/>
      <c r="D911" s="2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26"/>
      <c r="C912" s="3"/>
      <c r="D912" s="2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26"/>
      <c r="C913" s="3"/>
      <c r="D913" s="2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26"/>
      <c r="C914" s="3"/>
      <c r="D914" s="2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26"/>
      <c r="C915" s="3"/>
      <c r="D915" s="2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26"/>
      <c r="C916" s="3"/>
      <c r="D916" s="2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26"/>
      <c r="C917" s="3"/>
      <c r="D917" s="2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26"/>
      <c r="C918" s="3"/>
      <c r="D918" s="2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26"/>
      <c r="C919" s="3"/>
      <c r="D919" s="2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26"/>
      <c r="C920" s="3"/>
      <c r="D920" s="2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26"/>
      <c r="C921" s="3"/>
      <c r="D921" s="2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26"/>
      <c r="C922" s="3"/>
      <c r="D922" s="2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26"/>
      <c r="C923" s="3"/>
      <c r="D923" s="2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26"/>
      <c r="C924" s="3"/>
      <c r="D924" s="2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26"/>
      <c r="C925" s="3"/>
      <c r="D925" s="2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26"/>
      <c r="C926" s="3"/>
      <c r="D926" s="2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26"/>
      <c r="C927" s="3"/>
      <c r="D927" s="2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26"/>
      <c r="C928" s="3"/>
      <c r="D928" s="2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26"/>
      <c r="C929" s="3"/>
      <c r="D929" s="2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26"/>
      <c r="C930" s="3"/>
      <c r="D930" s="2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26"/>
      <c r="C931" s="3"/>
      <c r="D931" s="2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26"/>
      <c r="C932" s="3"/>
      <c r="D932" s="2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26"/>
      <c r="C933" s="3"/>
      <c r="D933" s="2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26"/>
      <c r="C934" s="3"/>
      <c r="D934" s="2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26"/>
      <c r="C935" s="3"/>
      <c r="D935" s="2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26"/>
      <c r="C936" s="3"/>
      <c r="D936" s="2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26"/>
      <c r="C937" s="3"/>
      <c r="D937" s="2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26"/>
      <c r="C938" s="3"/>
      <c r="D938" s="2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26"/>
      <c r="C939" s="3"/>
      <c r="D939" s="2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26"/>
      <c r="C940" s="3"/>
      <c r="D940" s="2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26"/>
      <c r="C941" s="3"/>
      <c r="D941" s="2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26"/>
      <c r="C942" s="3"/>
      <c r="D942" s="2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26"/>
      <c r="C943" s="3"/>
      <c r="D943" s="2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26"/>
      <c r="C944" s="3"/>
      <c r="D944" s="2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26"/>
      <c r="C945" s="3"/>
      <c r="D945" s="2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26"/>
      <c r="C946" s="3"/>
      <c r="D946" s="2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26"/>
      <c r="C947" s="3"/>
      <c r="D947" s="2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26"/>
      <c r="C948" s="3"/>
      <c r="D948" s="2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26"/>
      <c r="C949" s="3"/>
      <c r="D949" s="2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26"/>
      <c r="C950" s="3"/>
      <c r="D950" s="2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26"/>
      <c r="C951" s="3"/>
      <c r="D951" s="2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26"/>
      <c r="C952" s="3"/>
      <c r="D952" s="2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26"/>
      <c r="C953" s="3"/>
      <c r="D953" s="2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26"/>
      <c r="C954" s="3"/>
      <c r="D954" s="2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26"/>
      <c r="C955" s="3"/>
      <c r="D955" s="2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26"/>
      <c r="C956" s="3"/>
      <c r="D956" s="2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26"/>
      <c r="C957" s="3"/>
      <c r="D957" s="2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26"/>
      <c r="C958" s="3"/>
      <c r="D958" s="2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26"/>
      <c r="C959" s="3"/>
      <c r="D959" s="2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26"/>
      <c r="C960" s="3"/>
      <c r="D960" s="2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26"/>
      <c r="C961" s="3"/>
      <c r="D961" s="2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26"/>
      <c r="C962" s="3"/>
      <c r="D962" s="2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26"/>
      <c r="C963" s="3"/>
      <c r="D963" s="2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26"/>
      <c r="C964" s="3"/>
      <c r="D964" s="2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26"/>
      <c r="C965" s="3"/>
      <c r="D965" s="2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26"/>
      <c r="C966" s="3"/>
      <c r="D966" s="2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26"/>
      <c r="C967" s="3"/>
      <c r="D967" s="2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26"/>
      <c r="C968" s="3"/>
      <c r="D968" s="2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26"/>
      <c r="C969" s="3"/>
      <c r="D969" s="2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26"/>
      <c r="C970" s="3"/>
      <c r="D970" s="2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26"/>
      <c r="C971" s="3"/>
      <c r="D971" s="2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26"/>
      <c r="C972" s="3"/>
      <c r="D972" s="2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26"/>
      <c r="C973" s="3"/>
      <c r="D973" s="2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26"/>
      <c r="C974" s="3"/>
      <c r="D974" s="2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26"/>
      <c r="C975" s="3"/>
      <c r="D975" s="2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26"/>
      <c r="C976" s="3"/>
      <c r="D976" s="2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26"/>
      <c r="C977" s="3"/>
      <c r="D977" s="2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26"/>
      <c r="C978" s="3"/>
      <c r="D978" s="2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26"/>
      <c r="C979" s="3"/>
      <c r="D979" s="2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26"/>
      <c r="C980" s="3"/>
      <c r="D980" s="2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26"/>
      <c r="C981" s="3"/>
      <c r="D981" s="2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26"/>
      <c r="C982" s="3"/>
      <c r="D982" s="2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26"/>
      <c r="C983" s="3"/>
      <c r="D983" s="2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26"/>
      <c r="C984" s="3"/>
      <c r="D984" s="2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26"/>
      <c r="C985" s="3"/>
      <c r="D985" s="2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26"/>
      <c r="C986" s="3"/>
      <c r="D986" s="2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26"/>
      <c r="C987" s="3"/>
      <c r="D987" s="2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26"/>
      <c r="C988" s="3"/>
      <c r="D988" s="2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26"/>
      <c r="C989" s="3"/>
      <c r="D989" s="2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26"/>
      <c r="C990" s="3"/>
      <c r="D990" s="2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26"/>
      <c r="C991" s="3"/>
      <c r="D991" s="2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26"/>
      <c r="C992" s="3"/>
      <c r="D992" s="2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26"/>
      <c r="C993" s="3"/>
      <c r="D993" s="2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26"/>
      <c r="C994" s="3"/>
      <c r="D994" s="2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26"/>
      <c r="C995" s="3"/>
      <c r="D995" s="2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26"/>
      <c r="C996" s="3"/>
      <c r="D996" s="2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26"/>
      <c r="C997" s="3"/>
      <c r="D997" s="2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26"/>
      <c r="C998" s="3"/>
      <c r="D998" s="2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26"/>
      <c r="C999" s="3"/>
      <c r="D999" s="2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26"/>
      <c r="C1000" s="3"/>
      <c r="D1000" s="2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26"/>
      <c r="C1001" s="3"/>
      <c r="D1001" s="26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26"/>
      <c r="C1002" s="3"/>
      <c r="D1002" s="26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26"/>
      <c r="C1003" s="3"/>
      <c r="D1003" s="26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26"/>
      <c r="C1004" s="3"/>
      <c r="D1004" s="26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26"/>
      <c r="C1005" s="3"/>
      <c r="D1005" s="26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26"/>
      <c r="C1006" s="3"/>
      <c r="D1006" s="26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26"/>
      <c r="C1007" s="3"/>
      <c r="D1007" s="26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26"/>
      <c r="C1008" s="3"/>
      <c r="D1008" s="26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</sheetData>
  <mergeCells count="8">
    <mergeCell ref="L13:N13"/>
    <mergeCell ref="M14:N14"/>
    <mergeCell ref="M15:N15"/>
    <mergeCell ref="M16:N16"/>
    <mergeCell ref="M17:N17"/>
    <mergeCell ref="M18:N18"/>
    <mergeCell ref="A42:G42"/>
    <mergeCell ref="G43:G44"/>
  </mergeCells>
  <drawing r:id="rId1"/>
</worksheet>
</file>